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zu5\OneDrive\デスクトップ\Learn\.vscode\Job_hunting\"/>
    </mc:Choice>
  </mc:AlternateContent>
  <xr:revisionPtr revIDLastSave="0" documentId="13_ncr:1_{E7AD6D2E-7E20-444B-8710-769353C33D0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shboard" sheetId="1" r:id="rId1"/>
    <sheet name="Timeline" sheetId="2" r:id="rId2"/>
    <sheet name="Companies" sheetId="3" r:id="rId3"/>
    <sheet name="Events" sheetId="4" r:id="rId4"/>
    <sheet name="Analy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B16" i="5"/>
  <c r="B15" i="5"/>
  <c r="B10" i="5"/>
  <c r="B9" i="5"/>
  <c r="B8" i="5"/>
  <c r="B7" i="5"/>
  <c r="B6" i="5"/>
  <c r="B5" i="5"/>
  <c r="G15" i="1"/>
  <c r="D15" i="1"/>
  <c r="C15" i="1"/>
  <c r="G14" i="1"/>
  <c r="C14" i="1"/>
  <c r="D14" i="1" s="1"/>
  <c r="G13" i="1"/>
  <c r="D13" i="1"/>
  <c r="C13" i="1"/>
  <c r="G12" i="1"/>
  <c r="D12" i="1"/>
  <c r="C12" i="1"/>
  <c r="K7" i="1"/>
  <c r="H7" i="1"/>
  <c r="E7" i="1"/>
  <c r="B7" i="1"/>
  <c r="K4" i="1"/>
  <c r="H4" i="1"/>
  <c r="E4" i="1"/>
  <c r="B4" i="1"/>
</calcChain>
</file>

<file path=xl/sharedStrings.xml><?xml version="1.0" encoding="utf-8"?>
<sst xmlns="http://schemas.openxmlformats.org/spreadsheetml/2006/main" count="302" uniqueCount="160">
  <si>
    <t xml:space="preserve">  就活状況ダッシュボード (Dashboard)</t>
  </si>
  <si>
    <t>応募企業数</t>
  </si>
  <si>
    <t>ES提出中</t>
  </si>
  <si>
    <t>ES通過</t>
  </si>
  <si>
    <t>SPI受験</t>
  </si>
  <si>
    <t>面接中</t>
  </si>
  <si>
    <t>結果待ち</t>
  </si>
  <si>
    <t>インターン決定</t>
  </si>
  <si>
    <t>内定</t>
  </si>
  <si>
    <t>選考通過率分析</t>
  </si>
  <si>
    <t>優先度別応募件数</t>
  </si>
  <si>
    <t>直近のイベント・選考予定</t>
  </si>
  <si>
    <t>ステップ</t>
  </si>
  <si>
    <t>通過数</t>
  </si>
  <si>
    <t>通過率</t>
  </si>
  <si>
    <t>優先度</t>
  </si>
  <si>
    <t>件数</t>
  </si>
  <si>
    <t>企業名</t>
  </si>
  <si>
    <t>種別</t>
  </si>
  <si>
    <t>日付</t>
  </si>
  <si>
    <t>備考</t>
  </si>
  <si>
    <t>ES通過率</t>
  </si>
  <si>
    <t>Sランク</t>
  </si>
  <si>
    <t>PwCコンサルティング</t>
  </si>
  <si>
    <t>面接</t>
  </si>
  <si>
    <t>2026-06-10</t>
  </si>
  <si>
    <t>二次面接（ケース含む）</t>
  </si>
  <si>
    <t>SPI通過率</t>
  </si>
  <si>
    <t>Aランク</t>
  </si>
  <si>
    <t>リクルート</t>
  </si>
  <si>
    <t>SPI</t>
  </si>
  <si>
    <t>2026-06-12</t>
  </si>
  <si>
    <t>Webテスト受験期間</t>
  </si>
  <si>
    <t>面接通過率</t>
  </si>
  <si>
    <t>Bランク</t>
  </si>
  <si>
    <t>三菱商事</t>
  </si>
  <si>
    <t>ES</t>
  </si>
  <si>
    <t>2026-06-15</t>
  </si>
  <si>
    <t>インターンエントリーシート締切</t>
  </si>
  <si>
    <t>インターン参加率</t>
  </si>
  <si>
    <t>Cランク</t>
  </si>
  <si>
    <t>野村総合研究所</t>
  </si>
  <si>
    <t>GD</t>
  </si>
  <si>
    <t>2026-06-18</t>
  </si>
  <si>
    <t>グループディスカッション対策</t>
  </si>
  <si>
    <t>【凡例 (Legend)】</t>
  </si>
  <si>
    <t>インターン</t>
  </si>
  <si>
    <t>業界</t>
  </si>
  <si>
    <t>志望度</t>
  </si>
  <si>
    <t>ステータス</t>
  </si>
  <si>
    <t>2026年 6月</t>
  </si>
  <si>
    <t>1
(月)</t>
  </si>
  <si>
    <t>2
(火)</t>
  </si>
  <si>
    <t>3
(水)</t>
  </si>
  <si>
    <t>4
(木)</t>
  </si>
  <si>
    <t>5
(金)</t>
  </si>
  <si>
    <t>6
(土)</t>
  </si>
  <si>
    <t>7
(日)</t>
  </si>
  <si>
    <t>8
(月)</t>
  </si>
  <si>
    <t>9
(火)</t>
  </si>
  <si>
    <t>10
(水)</t>
  </si>
  <si>
    <t>11
(木)</t>
  </si>
  <si>
    <t>12
(金)</t>
  </si>
  <si>
    <t>13
(土)</t>
  </si>
  <si>
    <t>14
(日)</t>
  </si>
  <si>
    <t>15
(月)</t>
  </si>
  <si>
    <t>16
(火)</t>
  </si>
  <si>
    <t>17
(水)</t>
  </si>
  <si>
    <t>18
(木)</t>
  </si>
  <si>
    <t>19
(金)</t>
  </si>
  <si>
    <t>20
(土)</t>
  </si>
  <si>
    <t>21
(日)</t>
  </si>
  <si>
    <t>22
(月)</t>
  </si>
  <si>
    <t>23
(火)</t>
  </si>
  <si>
    <t>24
(水)</t>
  </si>
  <si>
    <t>25
(木)</t>
  </si>
  <si>
    <t>26
(金)</t>
  </si>
  <si>
    <t>27
(土)</t>
  </si>
  <si>
    <t>28
(日)</t>
  </si>
  <si>
    <t>29
(月)</t>
  </si>
  <si>
    <t>30
(火)</t>
  </si>
  <si>
    <t>コンサルティング</t>
  </si>
  <si>
    <t>S</t>
  </si>
  <si>
    <t>★★★★★</t>
  </si>
  <si>
    <t>商社</t>
  </si>
  <si>
    <t>トヨタ自動車</t>
  </si>
  <si>
    <t>メーカー</t>
  </si>
  <si>
    <t>A</t>
  </si>
  <si>
    <t>★★★★☆</t>
  </si>
  <si>
    <t>インターン参加予定</t>
  </si>
  <si>
    <t>IT・Web</t>
  </si>
  <si>
    <t>シンクタンク</t>
  </si>
  <si>
    <t>GD予定</t>
  </si>
  <si>
    <t>ソニー</t>
  </si>
  <si>
    <t>B</t>
  </si>
  <si>
    <t>★★★☆☆</t>
  </si>
  <si>
    <t>応募済</t>
  </si>
  <si>
    <t>楽天グループ</t>
  </si>
  <si>
    <t>アクセンチュア</t>
  </si>
  <si>
    <t>みずほフィナンシャルG</t>
  </si>
  <si>
    <t>金融</t>
  </si>
  <si>
    <t>C</t>
  </si>
  <si>
    <t>★★☆☆☆</t>
  </si>
  <si>
    <t>辞退</t>
  </si>
  <si>
    <t>応募日</t>
  </si>
  <si>
    <t>ES締切</t>
  </si>
  <si>
    <t>マスタ選択肢</t>
  </si>
  <si>
    <t>2026-05-10</t>
  </si>
  <si>
    <t>2026-06-05</t>
  </si>
  <si>
    <t>第一志望。面接対策必須</t>
  </si>
  <si>
    <t>2026-06-01</t>
  </si>
  <si>
    <t>2026-06-25</t>
  </si>
  <si>
    <t>OB訪問3名実施済</t>
  </si>
  <si>
    <t>2026-05-15</t>
  </si>
  <si>
    <t>インターン選考通過、8月参加</t>
  </si>
  <si>
    <t>2026-05-20</t>
  </si>
  <si>
    <t>テストセンター受験予定</t>
  </si>
  <si>
    <t>ES不通過</t>
  </si>
  <si>
    <t>2026-05-12</t>
  </si>
  <si>
    <t>2026-06-30</t>
  </si>
  <si>
    <t>本選考エントリー</t>
  </si>
  <si>
    <t>SPI通過</t>
  </si>
  <si>
    <t>2026-04-15</t>
  </si>
  <si>
    <t>早期内定。承諾保留中</t>
  </si>
  <si>
    <t>SPI不通過</t>
  </si>
  <si>
    <t>2026-05-01</t>
  </si>
  <si>
    <t>2026-05-25</t>
  </si>
  <si>
    <t>次ステージ面接</t>
  </si>
  <si>
    <t>2026-05-05</t>
  </si>
  <si>
    <t>他社内定のため辞退</t>
  </si>
  <si>
    <t>GD通過</t>
  </si>
  <si>
    <t>GD不通過</t>
  </si>
  <si>
    <t>一次面接通過</t>
  </si>
  <si>
    <t>二次面接通過</t>
  </si>
  <si>
    <t>最終面接通過</t>
  </si>
  <si>
    <t>インターン参加中</t>
  </si>
  <si>
    <t>イベント種別</t>
  </si>
  <si>
    <t>開始日</t>
  </si>
  <si>
    <t>終了日</t>
  </si>
  <si>
    <t>志望動機のブラッシュアップ</t>
  </si>
  <si>
    <t>2026-06-14</t>
  </si>
  <si>
    <t>2026-06-22</t>
  </si>
  <si>
    <t>2026-06-26</t>
  </si>
  <si>
    <t>夏期5daysインターン</t>
  </si>
  <si>
    <t>インターンエントリー</t>
  </si>
  <si>
    <t>2026-06-09</t>
  </si>
  <si>
    <t>インターン面接（パス済）</t>
  </si>
  <si>
    <t>2026-06-21</t>
  </si>
  <si>
    <t>テーマ：新規事業立案</t>
  </si>
  <si>
    <t>2026-06-20</t>
  </si>
  <si>
    <t>技術職エントリーシート</t>
  </si>
  <si>
    <t xml:space="preserve">  就職活動 選考・統計分析レポーティング (Analytics)</t>
  </si>
  <si>
    <t>ステータス分布データ</t>
  </si>
  <si>
    <t>社数</t>
  </si>
  <si>
    <t>月別応募推移</t>
  </si>
  <si>
    <t>月</t>
  </si>
  <si>
    <t>応募数</t>
  </si>
  <si>
    <t>2026年4月</t>
  </si>
  <si>
    <t>2026年5月</t>
  </si>
  <si>
    <t>2026年6月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</si>
</sst>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 x14ac:knownFonts="1">
    <font>
      <sz val="11"/>
      <color theme="1"/>
      <name val="ＭＳ Ｐゴシック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name val="ＭＳ Ｐゴシック"/>
      <family val="3"/>
      <charset val="128"/>
    </font>
    <font>
      <b/>
      <sz val="16"/>
      <color rgb="FFFFFFFF"/>
      <name val="Segoe UI"/>
    </font>
    <font>
      <b/>
      <sz val="10"/>
      <color rgb="FFFFFFFF"/>
      <name val="Segoe UI"/>
    </font>
    <font>
      <b/>
      <sz val="18"/>
      <color rgb="FF1B365D"/>
      <name val="Segoe UI"/>
    </font>
    <font>
      <b/>
      <sz val="12"/>
      <color rgb="FF1B365D"/>
      <name val="Segoe UI"/>
    </font>
    <font>
      <b/>
      <sz val="10"/>
      <name val="Segoe UI"/>
    </font>
    <font>
      <b/>
      <sz val="9"/>
      <color rgb="FF7F6000"/>
      <name val="Segoe UI"/>
    </font>
    <font>
      <b/>
      <sz val="9"/>
      <color rgb="FF375623"/>
      <name val="Segoe UI"/>
    </font>
    <font>
      <b/>
      <sz val="9"/>
      <color rgb="FF613A70"/>
      <name val="Segoe UI"/>
    </font>
    <font>
      <b/>
      <sz val="9"/>
      <color rgb="FF1F4E78"/>
      <name val="Segoe UI"/>
    </font>
    <font>
      <b/>
      <sz val="9"/>
      <color rgb="FFC65911"/>
      <name val="Segoe UI"/>
    </font>
    <font>
      <b/>
      <sz val="9"/>
      <color rgb="FF1E461E"/>
      <name val="Segoe UI"/>
    </font>
    <font>
      <sz val="8"/>
      <color rgb="FFFFFFFF"/>
      <name val="Segoe UI"/>
    </font>
    <font>
      <b/>
      <sz val="10"/>
      <color rgb="FF990000"/>
      <name val="Segoe UI"/>
    </font>
    <font>
      <b/>
      <sz val="10"/>
      <color rgb="FFB35900"/>
      <name val="Segoe UI"/>
    </font>
    <font>
      <b/>
      <sz val="10"/>
      <color rgb="FF004C99"/>
      <name val="Segoe UI"/>
    </font>
    <font>
      <b/>
      <sz val="10"/>
      <color rgb="FF595959"/>
      <name val="Segoe UI"/>
    </font>
    <font>
      <b/>
      <sz val="14"/>
      <color rgb="FFFFFFFF"/>
      <name val="Segoe UI"/>
    </font>
    <font>
      <b/>
      <sz val="11"/>
      <name val="Segoe UI"/>
    </font>
    <font>
      <sz val="9"/>
      <name val="Segoe UI"/>
    </font>
    <font>
      <sz val="6"/>
      <name val="ＭＳ Ｐゴシック"/>
      <family val="3"/>
      <charset val="128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5A738E"/>
        <bgColor rgb="FF5A738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1D5E7"/>
        <bgColor rgb="FFE1D5E7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9F2C9"/>
        <bgColor rgb="FFC9F2C9"/>
      </patternFill>
    </fill>
    <fill>
      <patternFill patternType="solid">
        <fgColor rgb="FF2E4A62"/>
        <bgColor rgb="FF2E4A62"/>
      </patternFill>
    </fill>
    <fill>
      <patternFill patternType="solid">
        <fgColor rgb="FF415B76"/>
        <bgColor rgb="FF415B76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FFD2D2"/>
        <bgColor rgb="FFFFD2D2"/>
      </patternFill>
    </fill>
    <fill>
      <patternFill patternType="solid">
        <fgColor rgb="FFF2F6FB"/>
        <bgColor rgb="FFF2F6FB"/>
      </patternFill>
    </fill>
    <fill>
      <patternFill patternType="solid">
        <fgColor rgb="FFFDF2F2"/>
        <bgColor rgb="FFFDF2F2"/>
      </patternFill>
    </fill>
    <fill>
      <patternFill patternType="solid">
        <fgColor rgb="FFFFE6CC"/>
        <bgColor rgb="FFFFE6CC"/>
      </patternFill>
    </fill>
    <fill>
      <patternFill patternType="solid">
        <fgColor rgb="FFD2E5FF"/>
        <bgColor rgb="FFD2E5FF"/>
      </patternFill>
    </fill>
    <fill>
      <patternFill patternType="solid">
        <fgColor rgb="FFE5E5E5"/>
        <bgColor rgb="FFE5E5E5"/>
      </patternFill>
    </fill>
    <fill>
      <patternFill patternType="solid">
        <fgColor rgb="FF34495E"/>
        <bgColor rgb="FF34495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7" fillId="0" borderId="0" xfId="0" applyFont="1"/>
    <xf numFmtId="0" fontId="5" fillId="4" borderId="0" xfId="0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76" fontId="8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9" fillId="5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15" fillId="12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7" borderId="1" xfId="0" applyFill="1" applyBorder="1"/>
    <xf numFmtId="0" fontId="0" fillId="17" borderId="3" xfId="0" applyFill="1" applyBorder="1"/>
    <xf numFmtId="0" fontId="17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1" fillId="0" borderId="0" xfId="0" applyFont="1"/>
    <xf numFmtId="0" fontId="0" fillId="3" borderId="0" xfId="0" applyFill="1"/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/>
    <xf numFmtId="0" fontId="1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0" fillId="21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優先度別 企業数分布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Dashboard!$G$11</c:f>
              <c:strCache>
                <c:ptCount val="1"/>
                <c:pt idx="0">
                  <c:v>件数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Dashboard!$F$12:$F$15</c:f>
              <c:strCache>
                <c:ptCount val="4"/>
                <c:pt idx="0">
                  <c:v>Sランク</c:v>
                </c:pt>
                <c:pt idx="1">
                  <c:v>Aランク</c:v>
                </c:pt>
                <c:pt idx="2">
                  <c:v>Bランク</c:v>
                </c:pt>
                <c:pt idx="3">
                  <c:v>Cランク</c:v>
                </c:pt>
              </c:strCache>
            </c:strRef>
          </c:cat>
          <c:val>
            <c:numRef>
              <c:f>Dashboard!$G$12:$G$15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E-43D2-B33A-46E1EEF16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優先度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企業数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ja-JP" altLang="en-US"/>
              <a:t>選考ステータス比率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Analytics!$B$4</c:f>
              <c:strCache>
                <c:ptCount val="1"/>
                <c:pt idx="0">
                  <c:v>社数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Analytics!$A$5:$A$10</c:f>
              <c:strCache>
                <c:ptCount val="6"/>
                <c:pt idx="0">
                  <c:v>内定</c:v>
                </c:pt>
                <c:pt idx="1">
                  <c:v>面接中</c:v>
                </c:pt>
                <c:pt idx="2">
                  <c:v>ES提出中</c:v>
                </c:pt>
                <c:pt idx="3">
                  <c:v>応募済</c:v>
                </c:pt>
                <c:pt idx="4">
                  <c:v>インターン決定</c:v>
                </c:pt>
                <c:pt idx="5">
                  <c:v>辞退</c:v>
                </c:pt>
              </c:strCache>
            </c:strRef>
          </c:cat>
          <c:val>
            <c:numRef>
              <c:f>Analytics!$B$5:$B$10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4-4DC0-9E69-0D3C7F1B3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選考エントリー数推移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Analytics!$B$14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Analytics!$A$15:$A$17</c:f>
              <c:strCache>
                <c:ptCount val="3"/>
                <c:pt idx="0">
                  <c:v>2026年4月</c:v>
                </c:pt>
                <c:pt idx="1">
                  <c:v>2026年5月</c:v>
                </c:pt>
                <c:pt idx="2">
                  <c:v>2026年6月</c:v>
                </c:pt>
              </c:strCache>
            </c:strRef>
          </c:cat>
          <c:val>
            <c:numRef>
              <c:f>Analytics!$B$15:$B$17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38-4664-965F-96F6940D6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時期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社数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396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432000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sqref="A1:N1"/>
    </sheetView>
  </sheetViews>
  <sheetFormatPr defaultRowHeight="13.5" x14ac:dyDescent="0.15"/>
  <cols>
    <col min="2" max="8" width="14" customWidth="1"/>
    <col min="9" max="9" width="22" customWidth="1"/>
    <col min="10" max="11" width="14" customWidth="1"/>
    <col min="12" max="12" width="24" customWidth="1"/>
  </cols>
  <sheetData>
    <row r="1" spans="1:14" ht="39.950000000000003" customHeight="1" x14ac:dyDescent="0.1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4" ht="20.100000000000001" customHeight="1" x14ac:dyDescent="0.15">
      <c r="B3" s="34" t="s">
        <v>1</v>
      </c>
      <c r="C3" s="33"/>
      <c r="E3" s="34" t="s">
        <v>2</v>
      </c>
      <c r="F3" s="33"/>
      <c r="H3" s="34" t="s">
        <v>3</v>
      </c>
      <c r="I3" s="33"/>
      <c r="K3" s="34" t="s">
        <v>4</v>
      </c>
      <c r="L3" s="33"/>
    </row>
    <row r="4" spans="1:14" ht="30" customHeight="1" x14ac:dyDescent="0.15">
      <c r="B4" s="32">
        <f>COUNTA(Companies!A2:A100)</f>
        <v>9</v>
      </c>
      <c r="C4" s="33"/>
      <c r="E4" s="32">
        <f>COUNTIF(Companies!E2:E100, "ES提出中")</f>
        <v>1</v>
      </c>
      <c r="F4" s="33"/>
      <c r="H4" s="32">
        <f>COUNTIF(Companies!E2:E100, "ES通過")</f>
        <v>1</v>
      </c>
      <c r="I4" s="33"/>
      <c r="K4" s="32">
        <f>COUNTIF(Companies!E2:E100, "SPI受験")</f>
        <v>1</v>
      </c>
      <c r="L4" s="33"/>
    </row>
    <row r="6" spans="1:14" ht="20.100000000000001" customHeight="1" x14ac:dyDescent="0.15">
      <c r="B6" s="34" t="s">
        <v>5</v>
      </c>
      <c r="C6" s="33"/>
      <c r="E6" s="34" t="s">
        <v>6</v>
      </c>
      <c r="F6" s="33"/>
      <c r="H6" s="34" t="s">
        <v>7</v>
      </c>
      <c r="I6" s="33"/>
      <c r="K6" s="34" t="s">
        <v>8</v>
      </c>
      <c r="L6" s="33"/>
    </row>
    <row r="7" spans="1:14" ht="30" customHeight="1" x14ac:dyDescent="0.15">
      <c r="B7" s="32">
        <f>COUNTIF(Companies!E2:E100, "*面接*") + COUNTIF(Companies!E2:E100, "GD予定")</f>
        <v>2</v>
      </c>
      <c r="C7" s="33"/>
      <c r="E7" s="32">
        <f>COUNTIF(Companies!E2:E100, "結果待ち")</f>
        <v>0</v>
      </c>
      <c r="F7" s="33"/>
      <c r="H7" s="32">
        <f>COUNTIF(Companies!E2:E100, "インターン決定") + COUNTIF(Companies!E2:E100, "インターン参加予定")</f>
        <v>1</v>
      </c>
      <c r="I7" s="33"/>
      <c r="K7" s="32">
        <f>COUNTIF(Companies!E2:E100, "内定")</f>
        <v>1</v>
      </c>
      <c r="L7" s="33"/>
    </row>
    <row r="10" spans="1:14" ht="17.25" x14ac:dyDescent="0.3">
      <c r="B10" s="2" t="s">
        <v>9</v>
      </c>
      <c r="F10" s="2" t="s">
        <v>10</v>
      </c>
      <c r="I10" s="2" t="s">
        <v>11</v>
      </c>
    </row>
    <row r="11" spans="1:14" ht="15" x14ac:dyDescent="0.25">
      <c r="B11" s="3" t="s">
        <v>12</v>
      </c>
      <c r="C11" s="3" t="s">
        <v>13</v>
      </c>
      <c r="D11" s="3" t="s">
        <v>14</v>
      </c>
      <c r="F11" s="3" t="s">
        <v>15</v>
      </c>
      <c r="G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</row>
    <row r="12" spans="1:14" ht="15" x14ac:dyDescent="0.25">
      <c r="B12" s="4" t="s">
        <v>21</v>
      </c>
      <c r="C12" s="5">
        <f>COUNTIF(Companies!E2:E100, "ES通過")+COUNTIF(Companies!E2:E100, "*面接*")+COUNTIF(Companies!E2:E100, "内定")+COUNTIF(Companies!E2:E100, "インターン*")</f>
        <v>4</v>
      </c>
      <c r="D12" s="6" t="e">
        <f>IF(B3&gt;0, C12/B3, 0)</f>
        <v>#VALUE!</v>
      </c>
      <c r="F12" s="4" t="s">
        <v>22</v>
      </c>
      <c r="G12" s="5">
        <f>COUNTIF(Companies!C2:C100, "S")</f>
        <v>2</v>
      </c>
      <c r="I12" s="4" t="s">
        <v>23</v>
      </c>
      <c r="J12" s="4" t="s">
        <v>24</v>
      </c>
      <c r="K12" s="7" t="s">
        <v>25</v>
      </c>
      <c r="L12" s="4" t="s">
        <v>26</v>
      </c>
    </row>
    <row r="13" spans="1:14" ht="15" x14ac:dyDescent="0.25">
      <c r="B13" s="4" t="s">
        <v>27</v>
      </c>
      <c r="C13" s="5">
        <f>COUNTIF(Companies!E2:E100, "SPI通過")+COUNTIF(Companies!E2:E100, "*面接*")+COUNTIF(Companies!E2:E100, "内定")</f>
        <v>2</v>
      </c>
      <c r="D13" s="6" t="e">
        <f>IF(B3&gt;0, C13/B3, 0)</f>
        <v>#VALUE!</v>
      </c>
      <c r="F13" s="4" t="s">
        <v>28</v>
      </c>
      <c r="G13" s="5">
        <f>COUNTIF(Companies!C2:C100, "A")</f>
        <v>3</v>
      </c>
      <c r="I13" s="4" t="s">
        <v>29</v>
      </c>
      <c r="J13" s="4" t="s">
        <v>30</v>
      </c>
      <c r="K13" s="7" t="s">
        <v>31</v>
      </c>
      <c r="L13" s="4" t="s">
        <v>32</v>
      </c>
    </row>
    <row r="14" spans="1:14" ht="15" x14ac:dyDescent="0.25">
      <c r="B14" s="4" t="s">
        <v>33</v>
      </c>
      <c r="C14" s="5">
        <f>COUNTIF(Companies!E2:E100, "二次面接通過")+COUNTIF(Companies!E2:E100, "最終面接通過")+COUNTIF(Companies!E2:E100, "内定")</f>
        <v>1</v>
      </c>
      <c r="D14" s="6" t="e">
        <f>IF(B3&gt;0, C14/B3, 0)</f>
        <v>#VALUE!</v>
      </c>
      <c r="F14" s="4" t="s">
        <v>34</v>
      </c>
      <c r="G14" s="5">
        <f>COUNTIF(Companies!C2:C100, "B")</f>
        <v>3</v>
      </c>
      <c r="I14" s="4" t="s">
        <v>35</v>
      </c>
      <c r="J14" s="4" t="s">
        <v>36</v>
      </c>
      <c r="K14" s="7" t="s">
        <v>37</v>
      </c>
      <c r="L14" s="4" t="s">
        <v>38</v>
      </c>
    </row>
    <row r="15" spans="1:14" ht="15" x14ac:dyDescent="0.25">
      <c r="B15" s="4" t="s">
        <v>39</v>
      </c>
      <c r="C15" s="5">
        <f>COUNTIF(Companies!E2:E100, "インターン参加中")+COUNTIF(Companies!E2:E100, "インターン決定")+COUNTIF(Companies!E2:E100, "インターン参加予定")</f>
        <v>1</v>
      </c>
      <c r="D15" s="6" t="e">
        <f>IF(B3&gt;0, C15/B3, 0)</f>
        <v>#VALUE!</v>
      </c>
      <c r="F15" s="4" t="s">
        <v>40</v>
      </c>
      <c r="G15" s="5">
        <f>COUNTIF(Companies!C2:C100, "C")</f>
        <v>1</v>
      </c>
      <c r="I15" s="4" t="s">
        <v>41</v>
      </c>
      <c r="J15" s="4" t="s">
        <v>42</v>
      </c>
      <c r="K15" s="7" t="s">
        <v>43</v>
      </c>
      <c r="L15" s="4" t="s">
        <v>44</v>
      </c>
    </row>
  </sheetData>
  <mergeCells count="17">
    <mergeCell ref="A1:N1"/>
    <mergeCell ref="B7:C7"/>
    <mergeCell ref="K7:L7"/>
    <mergeCell ref="E7:F7"/>
    <mergeCell ref="B3:C3"/>
    <mergeCell ref="H7:I7"/>
    <mergeCell ref="K6:L6"/>
    <mergeCell ref="H4:I4"/>
    <mergeCell ref="K4:L4"/>
    <mergeCell ref="B4:C4"/>
    <mergeCell ref="E3:F3"/>
    <mergeCell ref="K3:L3"/>
    <mergeCell ref="E4:F4"/>
    <mergeCell ref="H3:I3"/>
    <mergeCell ref="B6:C6"/>
    <mergeCell ref="E6:F6"/>
    <mergeCell ref="H6:I6"/>
  </mergeCells>
  <phoneticPr fontId="23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C5" sqref="C5"/>
    </sheetView>
  </sheetViews>
  <sheetFormatPr defaultRowHeight="13.5" x14ac:dyDescent="0.15"/>
  <cols>
    <col min="1" max="1" width="22" customWidth="1"/>
    <col min="2" max="2" width="16" customWidth="1"/>
    <col min="3" max="3" width="10" customWidth="1"/>
    <col min="4" max="4" width="14" customWidth="1"/>
    <col min="5" max="5" width="18" customWidth="1"/>
    <col min="6" max="35" width="6" customWidth="1"/>
  </cols>
  <sheetData>
    <row r="1" spans="1:35" ht="15" x14ac:dyDescent="0.25">
      <c r="A1" s="8" t="s">
        <v>45</v>
      </c>
      <c r="B1" s="9" t="s">
        <v>36</v>
      </c>
      <c r="C1" s="10" t="s">
        <v>30</v>
      </c>
      <c r="D1" s="11" t="s">
        <v>42</v>
      </c>
      <c r="E1" s="12" t="s">
        <v>24</v>
      </c>
      <c r="F1" s="13" t="s">
        <v>46</v>
      </c>
      <c r="G1" s="14" t="s">
        <v>8</v>
      </c>
    </row>
    <row r="3" spans="1:35" ht="24" customHeight="1" x14ac:dyDescent="0.15">
      <c r="A3" s="38" t="s">
        <v>17</v>
      </c>
      <c r="B3" s="38" t="s">
        <v>47</v>
      </c>
      <c r="C3" s="38" t="s">
        <v>15</v>
      </c>
      <c r="D3" s="38" t="s">
        <v>48</v>
      </c>
      <c r="E3" s="38" t="s">
        <v>49</v>
      </c>
      <c r="F3" s="39" t="s">
        <v>50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</row>
    <row r="4" spans="1:35" ht="27.95" customHeight="1" x14ac:dyDescent="0.15">
      <c r="A4" s="36"/>
      <c r="B4" s="36"/>
      <c r="C4" s="36"/>
      <c r="D4" s="36"/>
      <c r="E4" s="36"/>
      <c r="F4" s="15" t="s">
        <v>51</v>
      </c>
      <c r="G4" s="15" t="s">
        <v>52</v>
      </c>
      <c r="H4" s="15" t="s">
        <v>53</v>
      </c>
      <c r="I4" s="15" t="s">
        <v>54</v>
      </c>
      <c r="J4" s="15" t="s">
        <v>55</v>
      </c>
      <c r="K4" s="16" t="s">
        <v>56</v>
      </c>
      <c r="L4" s="17" t="s">
        <v>57</v>
      </c>
      <c r="M4" s="15" t="s">
        <v>58</v>
      </c>
      <c r="N4" s="15" t="s">
        <v>59</v>
      </c>
      <c r="O4" s="15" t="s">
        <v>60</v>
      </c>
      <c r="P4" s="15" t="s">
        <v>61</v>
      </c>
      <c r="Q4" s="15" t="s">
        <v>62</v>
      </c>
      <c r="R4" s="16" t="s">
        <v>63</v>
      </c>
      <c r="S4" s="17" t="s">
        <v>64</v>
      </c>
      <c r="T4" s="15" t="s">
        <v>65</v>
      </c>
      <c r="U4" s="15" t="s">
        <v>66</v>
      </c>
      <c r="V4" s="15" t="s">
        <v>67</v>
      </c>
      <c r="W4" s="15" t="s">
        <v>68</v>
      </c>
      <c r="X4" s="15" t="s">
        <v>69</v>
      </c>
      <c r="Y4" s="16" t="s">
        <v>70</v>
      </c>
      <c r="Z4" s="17" t="s">
        <v>71</v>
      </c>
      <c r="AA4" s="15" t="s">
        <v>72</v>
      </c>
      <c r="AB4" s="15" t="s">
        <v>73</v>
      </c>
      <c r="AC4" s="15" t="s">
        <v>74</v>
      </c>
      <c r="AD4" s="15" t="s">
        <v>75</v>
      </c>
      <c r="AE4" s="15" t="s">
        <v>76</v>
      </c>
      <c r="AF4" s="16" t="s">
        <v>77</v>
      </c>
      <c r="AG4" s="17" t="s">
        <v>78</v>
      </c>
      <c r="AH4" s="15" t="s">
        <v>79</v>
      </c>
      <c r="AI4" s="15" t="s">
        <v>80</v>
      </c>
    </row>
    <row r="5" spans="1:35" ht="21.95" customHeight="1" x14ac:dyDescent="0.15">
      <c r="A5" s="18" t="s">
        <v>23</v>
      </c>
      <c r="B5" s="18" t="s">
        <v>81</v>
      </c>
      <c r="C5" s="19" t="s">
        <v>82</v>
      </c>
      <c r="D5" s="18" t="s">
        <v>83</v>
      </c>
      <c r="E5" s="18" t="s">
        <v>5</v>
      </c>
      <c r="F5" s="41" t="s">
        <v>36</v>
      </c>
      <c r="G5" s="33"/>
      <c r="H5" s="33"/>
      <c r="I5" s="33"/>
      <c r="J5" s="33"/>
      <c r="K5" s="20"/>
      <c r="L5" s="21"/>
      <c r="M5" s="1"/>
      <c r="N5" s="1"/>
      <c r="O5" s="40" t="s">
        <v>24</v>
      </c>
      <c r="P5" s="33"/>
      <c r="Q5" s="33"/>
      <c r="R5" s="33"/>
      <c r="S5" s="33"/>
      <c r="T5" s="1"/>
      <c r="U5" s="1"/>
      <c r="V5" s="1"/>
      <c r="W5" s="1"/>
      <c r="X5" s="1"/>
      <c r="Y5" s="20"/>
      <c r="Z5" s="21"/>
      <c r="AA5" s="43" t="s">
        <v>46</v>
      </c>
      <c r="AB5" s="33"/>
      <c r="AC5" s="33"/>
      <c r="AD5" s="33"/>
      <c r="AE5" s="33"/>
      <c r="AF5" s="20"/>
      <c r="AG5" s="21"/>
      <c r="AH5" s="1"/>
      <c r="AI5" s="1"/>
    </row>
    <row r="6" spans="1:35" ht="21.95" customHeight="1" x14ac:dyDescent="0.15">
      <c r="A6" s="18" t="s">
        <v>35</v>
      </c>
      <c r="B6" s="18" t="s">
        <v>84</v>
      </c>
      <c r="C6" s="19" t="s">
        <v>82</v>
      </c>
      <c r="D6" s="18" t="s">
        <v>83</v>
      </c>
      <c r="E6" s="18" t="s">
        <v>2</v>
      </c>
      <c r="F6" s="1"/>
      <c r="G6" s="1"/>
      <c r="H6" s="1"/>
      <c r="I6" s="1"/>
      <c r="J6" s="1"/>
      <c r="K6" s="20"/>
      <c r="L6" s="21"/>
      <c r="M6" s="1"/>
      <c r="N6" s="1"/>
      <c r="O6" s="1"/>
      <c r="P6" s="1"/>
      <c r="Q6" s="1"/>
      <c r="R6" s="20"/>
      <c r="S6" s="22"/>
      <c r="T6" s="41" t="s">
        <v>36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1"/>
      <c r="AF6" s="20"/>
      <c r="AG6" s="21"/>
      <c r="AH6" s="1"/>
      <c r="AI6" s="1"/>
    </row>
    <row r="7" spans="1:35" ht="21.95" customHeight="1" x14ac:dyDescent="0.15">
      <c r="A7" s="18" t="s">
        <v>85</v>
      </c>
      <c r="B7" s="18" t="s">
        <v>86</v>
      </c>
      <c r="C7" s="23" t="s">
        <v>87</v>
      </c>
      <c r="D7" s="18" t="s">
        <v>88</v>
      </c>
      <c r="E7" s="18" t="s">
        <v>89</v>
      </c>
      <c r="F7" s="1"/>
      <c r="G7" s="1"/>
      <c r="H7" s="1"/>
      <c r="I7" s="1"/>
      <c r="J7" s="40" t="s">
        <v>24</v>
      </c>
      <c r="K7" s="33"/>
      <c r="L7" s="33"/>
      <c r="M7" s="33"/>
      <c r="N7" s="33"/>
      <c r="O7" s="1"/>
      <c r="P7" s="1"/>
      <c r="Q7" s="1"/>
      <c r="R7" s="20"/>
      <c r="S7" s="22"/>
      <c r="T7" s="1"/>
      <c r="U7" s="1"/>
      <c r="V7" s="1"/>
      <c r="W7" s="1"/>
      <c r="X7" s="1"/>
      <c r="Y7" s="20"/>
      <c r="Z7" s="21"/>
      <c r="AA7" s="1"/>
      <c r="AB7" s="1"/>
      <c r="AC7" s="1"/>
      <c r="AD7" s="1"/>
      <c r="AE7" s="1"/>
      <c r="AF7" s="20"/>
      <c r="AG7" s="21"/>
      <c r="AH7" s="1"/>
      <c r="AI7" s="1"/>
    </row>
    <row r="8" spans="1:35" ht="21.95" customHeight="1" x14ac:dyDescent="0.15">
      <c r="A8" s="18" t="s">
        <v>29</v>
      </c>
      <c r="B8" s="18" t="s">
        <v>90</v>
      </c>
      <c r="C8" s="23" t="s">
        <v>87</v>
      </c>
      <c r="D8" s="18" t="s">
        <v>88</v>
      </c>
      <c r="E8" s="18" t="s">
        <v>4</v>
      </c>
      <c r="F8" s="1"/>
      <c r="G8" s="1"/>
      <c r="H8" s="1"/>
      <c r="I8" s="1"/>
      <c r="J8" s="1"/>
      <c r="K8" s="20"/>
      <c r="L8" s="21"/>
      <c r="M8" s="1"/>
      <c r="N8" s="1"/>
      <c r="O8" s="1"/>
      <c r="P8" s="1"/>
      <c r="Q8" s="42" t="s">
        <v>30</v>
      </c>
      <c r="R8" s="33"/>
      <c r="S8" s="33"/>
      <c r="T8" s="33"/>
      <c r="U8" s="33"/>
      <c r="V8" s="33"/>
      <c r="W8" s="33"/>
      <c r="X8" s="1"/>
      <c r="Y8" s="20"/>
      <c r="Z8" s="21"/>
      <c r="AA8" s="1"/>
      <c r="AB8" s="1"/>
      <c r="AC8" s="1"/>
      <c r="AD8" s="1"/>
      <c r="AE8" s="1"/>
      <c r="AF8" s="20"/>
      <c r="AG8" s="21"/>
      <c r="AH8" s="1"/>
      <c r="AI8" s="1"/>
    </row>
    <row r="9" spans="1:35" ht="21.95" customHeight="1" x14ac:dyDescent="0.15">
      <c r="A9" s="18" t="s">
        <v>41</v>
      </c>
      <c r="B9" s="18" t="s">
        <v>91</v>
      </c>
      <c r="C9" s="23" t="s">
        <v>87</v>
      </c>
      <c r="D9" s="18" t="s">
        <v>88</v>
      </c>
      <c r="E9" s="18" t="s">
        <v>92</v>
      </c>
      <c r="F9" s="1"/>
      <c r="G9" s="1"/>
      <c r="H9" s="1"/>
      <c r="I9" s="1"/>
      <c r="J9" s="1"/>
      <c r="K9" s="20"/>
      <c r="L9" s="21"/>
      <c r="M9" s="1"/>
      <c r="N9" s="1"/>
      <c r="O9" s="1"/>
      <c r="P9" s="1"/>
      <c r="Q9" s="1"/>
      <c r="R9" s="20"/>
      <c r="S9" s="22"/>
      <c r="T9" s="1"/>
      <c r="U9" s="1"/>
      <c r="V9" s="1"/>
      <c r="W9" s="37" t="s">
        <v>42</v>
      </c>
      <c r="X9" s="33"/>
      <c r="Y9" s="33"/>
      <c r="Z9" s="33"/>
      <c r="AA9" s="1"/>
      <c r="AB9" s="1"/>
      <c r="AC9" s="1"/>
      <c r="AD9" s="1"/>
      <c r="AE9" s="1"/>
      <c r="AF9" s="20"/>
      <c r="AG9" s="21"/>
      <c r="AH9" s="1"/>
      <c r="AI9" s="1"/>
    </row>
    <row r="10" spans="1:35" ht="21.95" customHeight="1" x14ac:dyDescent="0.15">
      <c r="A10" s="18" t="s">
        <v>93</v>
      </c>
      <c r="B10" s="18" t="s">
        <v>86</v>
      </c>
      <c r="C10" s="24" t="s">
        <v>94</v>
      </c>
      <c r="D10" s="18" t="s">
        <v>95</v>
      </c>
      <c r="E10" s="18" t="s">
        <v>96</v>
      </c>
      <c r="F10" s="1"/>
      <c r="G10" s="1"/>
      <c r="H10" s="1"/>
      <c r="I10" s="1"/>
      <c r="J10" s="1"/>
      <c r="K10" s="20"/>
      <c r="L10" s="21"/>
      <c r="M10" s="1"/>
      <c r="N10" s="1"/>
      <c r="O10" s="1"/>
      <c r="P10" s="1"/>
      <c r="Q10" s="1"/>
      <c r="R10" s="20"/>
      <c r="S10" s="22"/>
      <c r="T10" s="1"/>
      <c r="U10" s="1"/>
      <c r="V10" s="1"/>
      <c r="W10" s="1"/>
      <c r="X10" s="1"/>
      <c r="Y10" s="41" t="s">
        <v>36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 spans="1:35" ht="21.95" customHeight="1" x14ac:dyDescent="0.15">
      <c r="A11" s="18" t="s">
        <v>97</v>
      </c>
      <c r="B11" s="18" t="s">
        <v>90</v>
      </c>
      <c r="C11" s="24" t="s">
        <v>94</v>
      </c>
      <c r="D11" s="18" t="s">
        <v>95</v>
      </c>
      <c r="E11" s="18" t="s">
        <v>8</v>
      </c>
      <c r="F11" s="1"/>
      <c r="G11" s="1"/>
      <c r="H11" s="1"/>
      <c r="I11" s="1"/>
      <c r="J11" s="1"/>
      <c r="K11" s="20"/>
      <c r="L11" s="21"/>
      <c r="M11" s="1"/>
      <c r="N11" s="1"/>
      <c r="O11" s="1"/>
      <c r="P11" s="1"/>
      <c r="Q11" s="1"/>
      <c r="R11" s="20"/>
      <c r="S11" s="22"/>
      <c r="T11" s="1"/>
      <c r="U11" s="1"/>
      <c r="V11" s="1"/>
      <c r="W11" s="1"/>
      <c r="X11" s="1"/>
      <c r="Y11" s="20"/>
      <c r="Z11" s="21"/>
      <c r="AA11" s="1"/>
      <c r="AB11" s="1"/>
      <c r="AC11" s="1"/>
      <c r="AD11" s="1"/>
      <c r="AE11" s="1"/>
      <c r="AF11" s="20"/>
      <c r="AG11" s="21"/>
      <c r="AH11" s="1"/>
      <c r="AI11" s="1"/>
    </row>
    <row r="12" spans="1:35" ht="21.95" customHeight="1" x14ac:dyDescent="0.15">
      <c r="A12" s="18" t="s">
        <v>98</v>
      </c>
      <c r="B12" s="18" t="s">
        <v>81</v>
      </c>
      <c r="C12" s="24" t="s">
        <v>94</v>
      </c>
      <c r="D12" s="18" t="s">
        <v>95</v>
      </c>
      <c r="E12" s="18" t="s">
        <v>3</v>
      </c>
      <c r="F12" s="1"/>
      <c r="G12" s="1"/>
      <c r="H12" s="1"/>
      <c r="I12" s="1"/>
      <c r="J12" s="1"/>
      <c r="K12" s="20"/>
      <c r="L12" s="21"/>
      <c r="M12" s="1"/>
      <c r="N12" s="1"/>
      <c r="O12" s="1"/>
      <c r="P12" s="1"/>
      <c r="Q12" s="1"/>
      <c r="R12" s="20"/>
      <c r="S12" s="22"/>
      <c r="T12" s="1"/>
      <c r="U12" s="1"/>
      <c r="V12" s="1"/>
      <c r="W12" s="1"/>
      <c r="X12" s="1"/>
      <c r="Y12" s="20"/>
      <c r="Z12" s="21"/>
      <c r="AA12" s="1"/>
      <c r="AB12" s="1"/>
      <c r="AC12" s="1"/>
      <c r="AD12" s="1"/>
      <c r="AE12" s="1"/>
      <c r="AF12" s="20"/>
      <c r="AG12" s="21"/>
      <c r="AH12" s="1"/>
      <c r="AI12" s="1"/>
    </row>
    <row r="13" spans="1:35" ht="21.95" customHeight="1" x14ac:dyDescent="0.15">
      <c r="A13" s="18" t="s">
        <v>99</v>
      </c>
      <c r="B13" s="18" t="s">
        <v>100</v>
      </c>
      <c r="C13" s="25" t="s">
        <v>101</v>
      </c>
      <c r="D13" s="18" t="s">
        <v>102</v>
      </c>
      <c r="E13" s="18" t="s">
        <v>103</v>
      </c>
      <c r="F13" s="1"/>
      <c r="G13" s="1"/>
      <c r="H13" s="1"/>
      <c r="I13" s="1"/>
      <c r="J13" s="1"/>
      <c r="K13" s="20"/>
      <c r="L13" s="21"/>
      <c r="M13" s="1"/>
      <c r="N13" s="1"/>
      <c r="O13" s="1"/>
      <c r="P13" s="1"/>
      <c r="Q13" s="1"/>
      <c r="R13" s="20"/>
      <c r="S13" s="22"/>
      <c r="T13" s="1"/>
      <c r="U13" s="1"/>
      <c r="V13" s="1"/>
      <c r="W13" s="1"/>
      <c r="X13" s="1"/>
      <c r="Y13" s="20"/>
      <c r="Z13" s="21"/>
      <c r="AA13" s="1"/>
      <c r="AB13" s="1"/>
      <c r="AC13" s="1"/>
      <c r="AD13" s="1"/>
      <c r="AE13" s="1"/>
      <c r="AF13" s="20"/>
      <c r="AG13" s="21"/>
      <c r="AH13" s="1"/>
      <c r="AI13" s="1"/>
    </row>
  </sheetData>
  <mergeCells count="14">
    <mergeCell ref="Y10:AI10"/>
    <mergeCell ref="W9:Z9"/>
    <mergeCell ref="C3:C4"/>
    <mergeCell ref="B3:B4"/>
    <mergeCell ref="A3:A4"/>
    <mergeCell ref="E3:E4"/>
    <mergeCell ref="F3:AI3"/>
    <mergeCell ref="O5:S5"/>
    <mergeCell ref="F5:J5"/>
    <mergeCell ref="D3:D4"/>
    <mergeCell ref="T6:AD6"/>
    <mergeCell ref="J7:N7"/>
    <mergeCell ref="Q8:W8"/>
    <mergeCell ref="AA5:AE5"/>
  </mergeCells>
  <phoneticPr fontId="23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Companies!$I$2:$I$20</xm:f>
          </x14:formula1>
          <xm:sqref>E5 E6 E7 E8 E9 E10 E11 E12 E13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3.5" x14ac:dyDescent="0.15"/>
  <cols>
    <col min="1" max="1" width="24" customWidth="1"/>
    <col min="2" max="2" width="16" customWidth="1"/>
    <col min="3" max="3" width="10" customWidth="1"/>
    <col min="4" max="4" width="14" customWidth="1"/>
    <col min="5" max="5" width="18" customWidth="1"/>
    <col min="6" max="7" width="14" customWidth="1"/>
    <col min="8" max="8" width="30" customWidth="1"/>
  </cols>
  <sheetData>
    <row r="1" spans="1:9" ht="26.1" customHeight="1" x14ac:dyDescent="0.15">
      <c r="A1" s="26" t="s">
        <v>17</v>
      </c>
      <c r="B1" s="26" t="s">
        <v>47</v>
      </c>
      <c r="C1" s="26" t="s">
        <v>15</v>
      </c>
      <c r="D1" s="26" t="s">
        <v>48</v>
      </c>
      <c r="E1" s="26" t="s">
        <v>49</v>
      </c>
      <c r="F1" s="26" t="s">
        <v>104</v>
      </c>
      <c r="G1" s="26" t="s">
        <v>105</v>
      </c>
      <c r="H1" s="26" t="s">
        <v>20</v>
      </c>
      <c r="I1" s="27" t="s">
        <v>106</v>
      </c>
    </row>
    <row r="2" spans="1:9" ht="20.100000000000001" customHeight="1" x14ac:dyDescent="0.25">
      <c r="A2" s="4" t="s">
        <v>23</v>
      </c>
      <c r="B2" s="4" t="s">
        <v>81</v>
      </c>
      <c r="C2" s="7" t="s">
        <v>82</v>
      </c>
      <c r="D2" s="7" t="s">
        <v>83</v>
      </c>
      <c r="E2" s="7" t="s">
        <v>5</v>
      </c>
      <c r="F2" s="7" t="s">
        <v>107</v>
      </c>
      <c r="G2" s="7" t="s">
        <v>108</v>
      </c>
      <c r="H2" s="4" t="s">
        <v>109</v>
      </c>
      <c r="I2" t="s">
        <v>96</v>
      </c>
    </row>
    <row r="3" spans="1:9" ht="20.100000000000001" customHeight="1" x14ac:dyDescent="0.25">
      <c r="A3" s="4" t="s">
        <v>35</v>
      </c>
      <c r="B3" s="4" t="s">
        <v>84</v>
      </c>
      <c r="C3" s="7" t="s">
        <v>82</v>
      </c>
      <c r="D3" s="7" t="s">
        <v>83</v>
      </c>
      <c r="E3" s="7" t="s">
        <v>2</v>
      </c>
      <c r="F3" s="7" t="s">
        <v>110</v>
      </c>
      <c r="G3" s="7" t="s">
        <v>111</v>
      </c>
      <c r="H3" s="4" t="s">
        <v>112</v>
      </c>
      <c r="I3" t="s">
        <v>2</v>
      </c>
    </row>
    <row r="4" spans="1:9" ht="20.100000000000001" customHeight="1" x14ac:dyDescent="0.25">
      <c r="A4" s="4" t="s">
        <v>85</v>
      </c>
      <c r="B4" s="4" t="s">
        <v>86</v>
      </c>
      <c r="C4" s="7" t="s">
        <v>87</v>
      </c>
      <c r="D4" s="7" t="s">
        <v>88</v>
      </c>
      <c r="E4" s="7" t="s">
        <v>89</v>
      </c>
      <c r="F4" s="7" t="s">
        <v>113</v>
      </c>
      <c r="G4" s="7" t="s">
        <v>25</v>
      </c>
      <c r="H4" s="4" t="s">
        <v>114</v>
      </c>
      <c r="I4" t="s">
        <v>3</v>
      </c>
    </row>
    <row r="5" spans="1:9" ht="20.100000000000001" customHeight="1" x14ac:dyDescent="0.25">
      <c r="A5" s="4" t="s">
        <v>29</v>
      </c>
      <c r="B5" s="4" t="s">
        <v>90</v>
      </c>
      <c r="C5" s="7" t="s">
        <v>87</v>
      </c>
      <c r="D5" s="7" t="s">
        <v>88</v>
      </c>
      <c r="E5" s="7" t="s">
        <v>4</v>
      </c>
      <c r="F5" s="7" t="s">
        <v>115</v>
      </c>
      <c r="G5" s="7" t="s">
        <v>37</v>
      </c>
      <c r="H5" s="4" t="s">
        <v>116</v>
      </c>
      <c r="I5" t="s">
        <v>117</v>
      </c>
    </row>
    <row r="6" spans="1:9" ht="20.100000000000001" customHeight="1" x14ac:dyDescent="0.25">
      <c r="A6" s="4" t="s">
        <v>41</v>
      </c>
      <c r="B6" s="4" t="s">
        <v>91</v>
      </c>
      <c r="C6" s="7" t="s">
        <v>87</v>
      </c>
      <c r="D6" s="7" t="s">
        <v>88</v>
      </c>
      <c r="E6" s="7" t="s">
        <v>92</v>
      </c>
      <c r="F6" s="7" t="s">
        <v>118</v>
      </c>
      <c r="G6" s="7" t="s">
        <v>31</v>
      </c>
      <c r="H6" s="4" t="s">
        <v>44</v>
      </c>
      <c r="I6" t="s">
        <v>4</v>
      </c>
    </row>
    <row r="7" spans="1:9" ht="20.100000000000001" customHeight="1" x14ac:dyDescent="0.25">
      <c r="A7" s="4" t="s">
        <v>93</v>
      </c>
      <c r="B7" s="4" t="s">
        <v>86</v>
      </c>
      <c r="C7" s="7" t="s">
        <v>94</v>
      </c>
      <c r="D7" s="7" t="s">
        <v>95</v>
      </c>
      <c r="E7" s="7" t="s">
        <v>96</v>
      </c>
      <c r="F7" s="7" t="s">
        <v>108</v>
      </c>
      <c r="G7" s="7" t="s">
        <v>119</v>
      </c>
      <c r="H7" s="4" t="s">
        <v>120</v>
      </c>
      <c r="I7" t="s">
        <v>121</v>
      </c>
    </row>
    <row r="8" spans="1:9" ht="20.100000000000001" customHeight="1" x14ac:dyDescent="0.25">
      <c r="A8" s="4" t="s">
        <v>97</v>
      </c>
      <c r="B8" s="4" t="s">
        <v>90</v>
      </c>
      <c r="C8" s="7" t="s">
        <v>94</v>
      </c>
      <c r="D8" s="7" t="s">
        <v>95</v>
      </c>
      <c r="E8" s="7" t="s">
        <v>8</v>
      </c>
      <c r="F8" s="7" t="s">
        <v>122</v>
      </c>
      <c r="G8" s="7" t="s">
        <v>107</v>
      </c>
      <c r="H8" s="4" t="s">
        <v>123</v>
      </c>
      <c r="I8" t="s">
        <v>124</v>
      </c>
    </row>
    <row r="9" spans="1:9" ht="20.100000000000001" customHeight="1" x14ac:dyDescent="0.25">
      <c r="A9" s="4" t="s">
        <v>98</v>
      </c>
      <c r="B9" s="4" t="s">
        <v>81</v>
      </c>
      <c r="C9" s="7" t="s">
        <v>94</v>
      </c>
      <c r="D9" s="7" t="s">
        <v>95</v>
      </c>
      <c r="E9" s="7" t="s">
        <v>3</v>
      </c>
      <c r="F9" s="7" t="s">
        <v>125</v>
      </c>
      <c r="G9" s="7" t="s">
        <v>126</v>
      </c>
      <c r="H9" s="4" t="s">
        <v>127</v>
      </c>
      <c r="I9" t="s">
        <v>92</v>
      </c>
    </row>
    <row r="10" spans="1:9" ht="20.100000000000001" customHeight="1" x14ac:dyDescent="0.25">
      <c r="A10" s="4" t="s">
        <v>99</v>
      </c>
      <c r="B10" s="4" t="s">
        <v>100</v>
      </c>
      <c r="C10" s="7" t="s">
        <v>101</v>
      </c>
      <c r="D10" s="7" t="s">
        <v>102</v>
      </c>
      <c r="E10" s="7" t="s">
        <v>103</v>
      </c>
      <c r="F10" s="7" t="s">
        <v>128</v>
      </c>
      <c r="G10" s="7" t="s">
        <v>115</v>
      </c>
      <c r="H10" s="4" t="s">
        <v>129</v>
      </c>
      <c r="I10" t="s">
        <v>130</v>
      </c>
    </row>
    <row r="11" spans="1:9" x14ac:dyDescent="0.15">
      <c r="I11" t="s">
        <v>131</v>
      </c>
    </row>
    <row r="12" spans="1:9" x14ac:dyDescent="0.15">
      <c r="I12" t="s">
        <v>132</v>
      </c>
    </row>
    <row r="13" spans="1:9" x14ac:dyDescent="0.15">
      <c r="I13" t="s">
        <v>133</v>
      </c>
    </row>
    <row r="14" spans="1:9" x14ac:dyDescent="0.15">
      <c r="I14" t="s">
        <v>134</v>
      </c>
    </row>
    <row r="15" spans="1:9" x14ac:dyDescent="0.15">
      <c r="I15" t="s">
        <v>6</v>
      </c>
    </row>
    <row r="16" spans="1:9" x14ac:dyDescent="0.15">
      <c r="I16" t="s">
        <v>89</v>
      </c>
    </row>
    <row r="17" spans="9:9" x14ac:dyDescent="0.15">
      <c r="I17" t="s">
        <v>135</v>
      </c>
    </row>
    <row r="18" spans="9:9" x14ac:dyDescent="0.15">
      <c r="I18" t="s">
        <v>7</v>
      </c>
    </row>
    <row r="19" spans="9:9" x14ac:dyDescent="0.15">
      <c r="I19" t="s">
        <v>8</v>
      </c>
    </row>
    <row r="20" spans="9:9" x14ac:dyDescent="0.15">
      <c r="I20" t="s">
        <v>103</v>
      </c>
    </row>
  </sheetData>
  <phoneticPr fontId="2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5" x14ac:dyDescent="0.15"/>
  <cols>
    <col min="1" max="1" width="24" customWidth="1"/>
    <col min="2" max="4" width="14" customWidth="1"/>
    <col min="5" max="5" width="32" customWidth="1"/>
  </cols>
  <sheetData>
    <row r="1" spans="1:5" ht="26.1" customHeight="1" x14ac:dyDescent="0.15">
      <c r="A1" s="26" t="s">
        <v>17</v>
      </c>
      <c r="B1" s="26" t="s">
        <v>136</v>
      </c>
      <c r="C1" s="26" t="s">
        <v>137</v>
      </c>
      <c r="D1" s="26" t="s">
        <v>138</v>
      </c>
      <c r="E1" s="26" t="s">
        <v>20</v>
      </c>
    </row>
    <row r="2" spans="1:5" ht="20.100000000000001" customHeight="1" x14ac:dyDescent="0.25">
      <c r="A2" s="4" t="s">
        <v>23</v>
      </c>
      <c r="B2" s="7" t="s">
        <v>36</v>
      </c>
      <c r="C2" s="7" t="s">
        <v>110</v>
      </c>
      <c r="D2" s="7" t="s">
        <v>108</v>
      </c>
      <c r="E2" s="4" t="s">
        <v>139</v>
      </c>
    </row>
    <row r="3" spans="1:5" ht="20.100000000000001" customHeight="1" x14ac:dyDescent="0.25">
      <c r="A3" s="4" t="s">
        <v>23</v>
      </c>
      <c r="B3" s="7" t="s">
        <v>24</v>
      </c>
      <c r="C3" s="7" t="s">
        <v>25</v>
      </c>
      <c r="D3" s="7" t="s">
        <v>140</v>
      </c>
      <c r="E3" s="4" t="s">
        <v>26</v>
      </c>
    </row>
    <row r="4" spans="1:5" ht="20.100000000000001" customHeight="1" x14ac:dyDescent="0.25">
      <c r="A4" s="4" t="s">
        <v>23</v>
      </c>
      <c r="B4" s="7" t="s">
        <v>46</v>
      </c>
      <c r="C4" s="7" t="s">
        <v>141</v>
      </c>
      <c r="D4" s="7" t="s">
        <v>142</v>
      </c>
      <c r="E4" s="4" t="s">
        <v>143</v>
      </c>
    </row>
    <row r="5" spans="1:5" ht="20.100000000000001" customHeight="1" x14ac:dyDescent="0.25">
      <c r="A5" s="4" t="s">
        <v>35</v>
      </c>
      <c r="B5" s="7" t="s">
        <v>36</v>
      </c>
      <c r="C5" s="7" t="s">
        <v>37</v>
      </c>
      <c r="D5" s="7" t="s">
        <v>111</v>
      </c>
      <c r="E5" s="4" t="s">
        <v>144</v>
      </c>
    </row>
    <row r="6" spans="1:5" ht="20.100000000000001" customHeight="1" x14ac:dyDescent="0.25">
      <c r="A6" s="4" t="s">
        <v>85</v>
      </c>
      <c r="B6" s="7" t="s">
        <v>24</v>
      </c>
      <c r="C6" s="7" t="s">
        <v>108</v>
      </c>
      <c r="D6" s="7" t="s">
        <v>145</v>
      </c>
      <c r="E6" s="4" t="s">
        <v>146</v>
      </c>
    </row>
    <row r="7" spans="1:5" ht="20.100000000000001" customHeight="1" x14ac:dyDescent="0.25">
      <c r="A7" s="4" t="s">
        <v>29</v>
      </c>
      <c r="B7" s="7" t="s">
        <v>30</v>
      </c>
      <c r="C7" s="7" t="s">
        <v>31</v>
      </c>
      <c r="D7" s="7" t="s">
        <v>43</v>
      </c>
      <c r="E7" s="4" t="s">
        <v>32</v>
      </c>
    </row>
    <row r="8" spans="1:5" ht="20.100000000000001" customHeight="1" x14ac:dyDescent="0.25">
      <c r="A8" s="4" t="s">
        <v>41</v>
      </c>
      <c r="B8" s="7" t="s">
        <v>42</v>
      </c>
      <c r="C8" s="7" t="s">
        <v>43</v>
      </c>
      <c r="D8" s="7" t="s">
        <v>147</v>
      </c>
      <c r="E8" s="4" t="s">
        <v>148</v>
      </c>
    </row>
    <row r="9" spans="1:5" ht="20.100000000000001" customHeight="1" x14ac:dyDescent="0.25">
      <c r="A9" s="4" t="s">
        <v>93</v>
      </c>
      <c r="B9" s="7" t="s">
        <v>36</v>
      </c>
      <c r="C9" s="7" t="s">
        <v>149</v>
      </c>
      <c r="D9" s="7" t="s">
        <v>119</v>
      </c>
      <c r="E9" s="4" t="s">
        <v>150</v>
      </c>
    </row>
  </sheetData>
  <phoneticPr fontId="2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selection sqref="A1:K1"/>
    </sheetView>
  </sheetViews>
  <sheetFormatPr defaultRowHeight="13.5" x14ac:dyDescent="0.15"/>
  <cols>
    <col min="1" max="1" width="16" customWidth="1"/>
    <col min="2" max="2" width="10" customWidth="1"/>
  </cols>
  <sheetData>
    <row r="1" spans="1:11" ht="35.1" customHeight="1" x14ac:dyDescent="0.15">
      <c r="A1" s="44" t="s">
        <v>151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16.5" x14ac:dyDescent="0.3">
      <c r="A3" s="28" t="s">
        <v>152</v>
      </c>
    </row>
    <row r="4" spans="1:11" x14ac:dyDescent="0.15">
      <c r="A4" s="29" t="s">
        <v>49</v>
      </c>
      <c r="B4" s="29" t="s">
        <v>153</v>
      </c>
    </row>
    <row r="5" spans="1:11" ht="14.25" x14ac:dyDescent="0.2">
      <c r="A5" s="30" t="s">
        <v>8</v>
      </c>
      <c r="B5" s="31">
        <f>COUNTIF(Companies!E2:E100, "内定")</f>
        <v>1</v>
      </c>
    </row>
    <row r="6" spans="1:11" ht="14.25" x14ac:dyDescent="0.2">
      <c r="A6" s="30" t="s">
        <v>5</v>
      </c>
      <c r="B6" s="31">
        <f>COUNTIF(Companies!E2:E100, "*面接*") + COUNTIF(Companies!E2:E100, "GD予定")</f>
        <v>2</v>
      </c>
    </row>
    <row r="7" spans="1:11" ht="14.25" x14ac:dyDescent="0.2">
      <c r="A7" s="30" t="s">
        <v>2</v>
      </c>
      <c r="B7" s="31">
        <f>COUNTIF(Companies!E2:E100, "ES提出中")</f>
        <v>1</v>
      </c>
    </row>
    <row r="8" spans="1:11" ht="14.25" x14ac:dyDescent="0.2">
      <c r="A8" s="30" t="s">
        <v>96</v>
      </c>
      <c r="B8" s="31">
        <f>COUNTIF(Companies!E2:E100, "応募済")</f>
        <v>1</v>
      </c>
    </row>
    <row r="9" spans="1:11" ht="14.25" x14ac:dyDescent="0.2">
      <c r="A9" s="30" t="s">
        <v>7</v>
      </c>
      <c r="B9" s="31">
        <f>COUNTIF(Companies!E2:E100, "インターン決定") + COUNTIF(Companies!E2:E100, "インターン参加予定")</f>
        <v>1</v>
      </c>
    </row>
    <row r="10" spans="1:11" ht="14.25" x14ac:dyDescent="0.2">
      <c r="A10" s="30" t="s">
        <v>103</v>
      </c>
      <c r="B10" s="31">
        <f>COUNTIF(Companies!E2:E100, "辞退")</f>
        <v>1</v>
      </c>
    </row>
    <row r="13" spans="1:11" ht="16.5" x14ac:dyDescent="0.3">
      <c r="A13" s="28" t="s">
        <v>154</v>
      </c>
    </row>
    <row r="14" spans="1:11" x14ac:dyDescent="0.15">
      <c r="A14" t="s">
        <v>155</v>
      </c>
      <c r="B14" t="s">
        <v>156</v>
      </c>
    </row>
    <row r="15" spans="1:11" ht="14.25" x14ac:dyDescent="0.2">
      <c r="A15" s="30" t="s">
        <v>157</v>
      </c>
      <c r="B15" s="31">
        <f>COUNTIF(Companies!F2:F100, "*2026-04*")</f>
        <v>1</v>
      </c>
    </row>
    <row r="16" spans="1:11" ht="14.25" x14ac:dyDescent="0.2">
      <c r="A16" s="30" t="s">
        <v>158</v>
      </c>
      <c r="B16" s="31">
        <f>COUNTIF(Companies!F2:F100, "*2026-05*")</f>
        <v>6</v>
      </c>
    </row>
    <row r="17" spans="1:2" ht="14.25" x14ac:dyDescent="0.2">
      <c r="A17" s="30" t="s">
        <v>159</v>
      </c>
      <c r="B17" s="31">
        <f>COUNTIF(Companies!F2:F100, "*2026-06*")</f>
        <v>2</v>
      </c>
    </row>
  </sheetData>
  <mergeCells count="1">
    <mergeCell ref="A1:K1"/>
  </mergeCells>
  <phoneticPr fontId="2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Dashboard</vt:lpstr>
      <vt:lpstr>Timeline</vt:lpstr>
      <vt:lpstr>Companies</vt:lpstr>
      <vt:lpstr>Events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松本　優瑞</cp:lastModifiedBy>
  <dcterms:created xsi:type="dcterms:W3CDTF">2026-06-15T04:12:26Z</dcterms:created>
  <dcterms:modified xsi:type="dcterms:W3CDTF">2026-06-15T04:13:34Z</dcterms:modified>
</cp:coreProperties>
</file>