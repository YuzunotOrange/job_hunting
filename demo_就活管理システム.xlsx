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Timeline" sheetId="2" state="visible" r:id="rId2"/>
    <sheet name="Companies" sheetId="3" state="visible" r:id="rId3"/>
    <sheet name="Events" sheetId="4" state="visible" r:id="rId4"/>
    <sheet name="Analytic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Segoe UI"/>
      <b val="1"/>
      <color rgb="00FFFFFF"/>
      <sz val="11"/>
    </font>
    <font>
      <name val="Segoe UI"/>
      <sz val="10"/>
    </font>
    <font>
      <name val="Segoe UI"/>
      <b val="1"/>
      <color rgb="00FFFFFF"/>
      <sz val="16"/>
    </font>
    <font>
      <name val="Segoe UI"/>
      <b val="1"/>
      <color rgb="00FFFFFF"/>
      <sz val="10"/>
    </font>
    <font>
      <name val="Segoe UI"/>
      <b val="1"/>
      <color rgb="001B365D"/>
      <sz val="18"/>
    </font>
    <font>
      <name val="Segoe UI"/>
      <b val="1"/>
      <color rgb="001B365D"/>
      <sz val="12"/>
    </font>
    <font>
      <name val="Segoe UI"/>
      <b val="1"/>
      <sz val="10"/>
    </font>
    <font>
      <name val="Segoe UI"/>
      <b val="1"/>
      <color rgb="007F6000"/>
      <sz val="9"/>
    </font>
    <font>
      <name val="Segoe UI"/>
      <b val="1"/>
      <color rgb="00375623"/>
      <sz val="9"/>
    </font>
    <font>
      <name val="Segoe UI"/>
      <b val="1"/>
      <color rgb="00613A70"/>
      <sz val="9"/>
    </font>
    <font>
      <name val="Segoe UI"/>
      <b val="1"/>
      <color rgb="001F4E78"/>
      <sz val="9"/>
    </font>
    <font>
      <name val="Segoe UI"/>
      <b val="1"/>
      <color rgb="00C65911"/>
      <sz val="9"/>
    </font>
    <font>
      <name val="Segoe UI"/>
      <b val="1"/>
      <color rgb="001E461E"/>
      <sz val="9"/>
    </font>
    <font>
      <name val="Segoe UI"/>
      <color rgb="00FFFFFF"/>
      <sz val="8"/>
    </font>
    <font>
      <name val="Segoe UI"/>
      <b val="1"/>
      <color rgb="00990000"/>
      <sz val="10"/>
    </font>
    <font>
      <name val="Segoe UI"/>
      <b val="1"/>
      <color rgb="00B35900"/>
      <sz val="10"/>
    </font>
    <font>
      <name val="Segoe UI"/>
      <b val="1"/>
      <color rgb="00004C99"/>
      <sz val="10"/>
    </font>
    <font>
      <name val="Segoe UI"/>
      <b val="1"/>
      <color rgb="00595959"/>
      <sz val="10"/>
    </font>
    <font>
      <name val="Segoe UI"/>
      <b val="1"/>
      <color rgb="00FFFFFF"/>
      <sz val="14"/>
    </font>
  </fonts>
  <fills count="21">
    <fill>
      <patternFill/>
    </fill>
    <fill>
      <patternFill patternType="gray125"/>
    </fill>
    <fill>
      <patternFill patternType="solid">
        <fgColor rgb="001B365D"/>
        <bgColor rgb="001B365D"/>
      </patternFill>
    </fill>
    <fill>
      <patternFill patternType="solid">
        <fgColor rgb="00F0F4F8"/>
        <bgColor rgb="00F0F4F8"/>
      </patternFill>
    </fill>
    <fill>
      <patternFill patternType="solid">
        <fgColor rgb="00FFF2CC"/>
        <bgColor rgb="00FFF2CC"/>
      </patternFill>
    </fill>
    <fill>
      <patternFill patternType="solid">
        <fgColor rgb="00E2EFDA"/>
        <bgColor rgb="00E2EFDA"/>
      </patternFill>
    </fill>
    <fill>
      <patternFill patternType="solid">
        <fgColor rgb="00E1D5E7"/>
        <bgColor rgb="00E1D5E7"/>
      </patternFill>
    </fill>
    <fill>
      <patternFill patternType="solid">
        <fgColor rgb="00DDEBF7"/>
        <bgColor rgb="00DDEBF7"/>
      </patternFill>
    </fill>
    <fill>
      <patternFill patternType="solid">
        <fgColor rgb="00FCE4D6"/>
        <bgColor rgb="00FCE4D6"/>
      </patternFill>
    </fill>
    <fill>
      <patternFill patternType="solid">
        <fgColor rgb="00C9F2C9"/>
        <bgColor rgb="00C9F2C9"/>
      </patternFill>
    </fill>
    <fill>
      <patternFill patternType="solid">
        <fgColor rgb="002E4A62"/>
        <bgColor rgb="002E4A62"/>
      </patternFill>
    </fill>
    <fill>
      <patternFill patternType="solid">
        <fgColor rgb="00415B76"/>
      </patternFill>
    </fill>
    <fill>
      <patternFill patternType="solid">
        <fgColor rgb="004F81BD"/>
      </patternFill>
    </fill>
    <fill>
      <patternFill patternType="solid">
        <fgColor rgb="00C0504D"/>
      </patternFill>
    </fill>
    <fill>
      <patternFill patternType="solid">
        <fgColor rgb="00FFD2D2"/>
        <bgColor rgb="00FFD2D2"/>
      </patternFill>
    </fill>
    <fill>
      <patternFill patternType="solid">
        <fgColor rgb="00F2F6FB"/>
      </patternFill>
    </fill>
    <fill>
      <patternFill patternType="solid">
        <fgColor rgb="00FDF2F2"/>
      </patternFill>
    </fill>
    <fill>
      <patternFill patternType="solid">
        <fgColor rgb="00FFE6CC"/>
        <bgColor rgb="00FFE6CC"/>
      </patternFill>
    </fill>
    <fill>
      <patternFill patternType="solid">
        <fgColor rgb="00D2E5FF"/>
        <bgColor rgb="00D2E5FF"/>
      </patternFill>
    </fill>
    <fill>
      <patternFill patternType="solid">
        <fgColor rgb="00E5E5E5"/>
        <bgColor rgb="00E5E5E5"/>
      </patternFill>
    </fill>
    <fill>
      <patternFill patternType="solid">
        <fgColor rgb="0034495E"/>
        <bgColor rgb="0034495E"/>
      </patternFill>
    </fill>
  </fills>
  <borders count="7">
    <border>
      <left/>
      <right/>
      <top/>
      <bottom/>
      <diagonal/>
    </border>
    <border>
      <left style="thin">
        <color rgb="00D9D9D9"/>
      </left>
      <right style="thin">
        <color rgb="00D9D9D9"/>
      </right>
      <top style="thin">
        <color rgb="00D9D9D9"/>
      </top>
      <bottom style="thin">
        <color rgb="00D9D9D9"/>
      </bottom>
    </border>
    <border>
      <left style="medium">
        <color rgb="00FF0000"/>
      </left>
      <right style="medium">
        <color rgb="00FF0000"/>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39">
    <xf numFmtId="0" fontId="0" fillId="0" borderId="0" pivotButton="0" quotePrefix="0" xfId="0"/>
    <xf numFmtId="0" fontId="3" fillId="2" borderId="0" applyAlignment="1" pivotButton="0" quotePrefix="0" xfId="0">
      <alignment vertical="center"/>
    </xf>
    <xf numFmtId="0" fontId="4" fillId="2" borderId="1" applyAlignment="1" pivotButton="0" quotePrefix="0" xfId="0">
      <alignment horizontal="center" vertical="center"/>
    </xf>
    <xf numFmtId="0" fontId="0" fillId="0" borderId="1" pivotButton="0" quotePrefix="0" xfId="0"/>
    <xf numFmtId="0" fontId="5" fillId="3" borderId="1" applyAlignment="1" pivotButton="0" quotePrefix="0" xfId="0">
      <alignment horizontal="center" vertical="center"/>
    </xf>
    <xf numFmtId="0" fontId="6" fillId="0" borderId="0" pivotButton="0" quotePrefix="0" xfId="0"/>
    <xf numFmtId="0" fontId="0" fillId="0" borderId="1" applyAlignment="1" pivotButton="0" quotePrefix="0" xfId="0">
      <alignment horizontal="right"/>
    </xf>
    <xf numFmtId="164" fontId="0" fillId="0" borderId="0" applyAlignment="1" pivotButton="0" quotePrefix="0" xfId="0">
      <alignment horizontal="right"/>
    </xf>
    <xf numFmtId="0" fontId="7" fillId="0" borderId="0" pivotButton="0" quotePrefix="0" xfId="0"/>
    <xf numFmtId="0" fontId="8" fillId="4" borderId="0" applyAlignment="1" pivotButton="0" quotePrefix="0" xfId="0">
      <alignment horizontal="center"/>
    </xf>
    <xf numFmtId="0" fontId="9" fillId="5" borderId="0" applyAlignment="1" pivotButton="0" quotePrefix="0" xfId="0">
      <alignment horizontal="center"/>
    </xf>
    <xf numFmtId="0" fontId="10" fillId="6" borderId="0" applyAlignment="1" pivotButton="0" quotePrefix="0" xfId="0">
      <alignment horizontal="center"/>
    </xf>
    <xf numFmtId="0" fontId="11" fillId="7" borderId="0" applyAlignment="1" pivotButton="0" quotePrefix="0" xfId="0">
      <alignment horizontal="center"/>
    </xf>
    <xf numFmtId="0" fontId="12" fillId="8" borderId="0" applyAlignment="1" pivotButton="0" quotePrefix="0" xfId="0">
      <alignment horizontal="center"/>
    </xf>
    <xf numFmtId="0" fontId="13" fillId="9" borderId="0" applyAlignment="1" pivotButton="0" quotePrefix="0" xfId="0">
      <alignment horizontal="center"/>
    </xf>
    <xf numFmtId="0" fontId="4" fillId="2" borderId="0" applyAlignment="1" pivotButton="0" quotePrefix="0" xfId="0">
      <alignment horizontal="center" vertical="center"/>
    </xf>
    <xf numFmtId="0" fontId="1" fillId="10" borderId="0" applyAlignment="1" pivotButton="0" quotePrefix="0" xfId="0">
      <alignment horizontal="center" vertical="center"/>
    </xf>
    <xf numFmtId="0" fontId="14" fillId="11" borderId="0" applyAlignment="1" pivotButton="0" quotePrefix="0" xfId="0">
      <alignment horizontal="center" vertical="center" wrapText="1"/>
    </xf>
    <xf numFmtId="0" fontId="14" fillId="12" borderId="0" applyAlignment="1" pivotButton="0" quotePrefix="0" xfId="0">
      <alignment horizontal="center" vertical="center" wrapText="1"/>
    </xf>
    <xf numFmtId="0" fontId="14" fillId="13" borderId="0" applyAlignment="1" pivotButton="0" quotePrefix="0" xfId="0">
      <alignment horizontal="center" vertical="center" wrapText="1"/>
    </xf>
    <xf numFmtId="0" fontId="2" fillId="0" borderId="0" applyAlignment="1" pivotButton="0" quotePrefix="0" xfId="0">
      <alignment horizontal="center" vertical="center"/>
    </xf>
    <xf numFmtId="0" fontId="15" fillId="14" borderId="0" applyAlignment="1" pivotButton="0" quotePrefix="0" xfId="0">
      <alignment horizontal="center" vertical="center"/>
    </xf>
    <xf numFmtId="0" fontId="8" fillId="4" borderId="1" applyAlignment="1" pivotButton="0" quotePrefix="0" xfId="0">
      <alignment horizontal="center" vertical="center"/>
    </xf>
    <xf numFmtId="0" fontId="0" fillId="0" borderId="5" pivotButton="0" quotePrefix="0" xfId="0"/>
    <xf numFmtId="0" fontId="0" fillId="0" borderId="6" pivotButton="0" quotePrefix="0" xfId="0"/>
    <xf numFmtId="0" fontId="0" fillId="15" borderId="1" pivotButton="0" quotePrefix="0" xfId="0"/>
    <xf numFmtId="0" fontId="0" fillId="16" borderId="1" pivotButton="0" quotePrefix="0" xfId="0"/>
    <xf numFmtId="0" fontId="11" fillId="7" borderId="1" applyAlignment="1" pivotButton="0" quotePrefix="0" xfId="0">
      <alignment horizontal="center" vertical="center"/>
    </xf>
    <xf numFmtId="0" fontId="12" fillId="8" borderId="1" applyAlignment="1" pivotButton="0" quotePrefix="0" xfId="0">
      <alignment horizontal="center" vertical="center"/>
    </xf>
    <xf numFmtId="0" fontId="0" fillId="16" borderId="2" pivotButton="0" quotePrefix="0" xfId="0"/>
    <xf numFmtId="0" fontId="16" fillId="17" borderId="0" applyAlignment="1" pivotButton="0" quotePrefix="0" xfId="0">
      <alignment horizontal="center" vertical="center"/>
    </xf>
    <xf numFmtId="0" fontId="9" fillId="5" borderId="1" applyAlignment="1" pivotButton="0" quotePrefix="0" xfId="0">
      <alignment horizontal="center" vertical="center"/>
    </xf>
    <xf numFmtId="0" fontId="10" fillId="6" borderId="1" applyAlignment="1" pivotButton="0" quotePrefix="0" xfId="0">
      <alignment horizontal="center" vertical="center"/>
    </xf>
    <xf numFmtId="0" fontId="17" fillId="18" borderId="0" applyAlignment="1" pivotButton="0" quotePrefix="0" xfId="0">
      <alignment horizontal="center" vertical="center"/>
    </xf>
    <xf numFmtId="0" fontId="18" fillId="19" borderId="0" applyAlignment="1" pivotButton="0" quotePrefix="0" xfId="0">
      <alignment horizontal="center" vertical="center"/>
    </xf>
    <xf numFmtId="0" fontId="1" fillId="2" borderId="0" applyAlignment="1" pivotButton="0" quotePrefix="0" xfId="0">
      <alignment horizontal="center" vertical="center"/>
    </xf>
    <xf numFmtId="0" fontId="2" fillId="0" borderId="1" pivotButton="0" quotePrefix="0" xfId="0"/>
    <xf numFmtId="0" fontId="1" fillId="2" borderId="0" pivotButton="0" quotePrefix="0" xfId="0"/>
    <xf numFmtId="0" fontId="19" fillId="2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優先度別 企業数分布</a:t>
            </a:r>
          </a:p>
        </rich>
      </tx>
    </title>
    <plotArea>
      <barChart>
        <barDir val="col"/>
        <grouping val="clustered"/>
        <ser>
          <idx val="0"/>
          <order val="0"/>
          <tx>
            <strRef>
              <f>'Dashboard'!G11</f>
            </strRef>
          </tx>
          <spPr>
            <a:ln>
              <a:prstDash val="solid"/>
            </a:ln>
          </spPr>
          <cat>
            <numRef>
              <f>'Dashboard'!$F$12:$F$15</f>
            </numRef>
          </cat>
          <val>
            <numRef>
              <f>'Dashboard'!$G$12:$G$15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選考ステータス比率</a:t>
            </a:r>
          </a:p>
        </rich>
      </tx>
    </title>
    <plotArea>
      <pieChart>
        <varyColors val="1"/>
        <ser>
          <idx val="0"/>
          <order val="0"/>
          <tx>
            <strRef>
              <f>'Analytics'!B4</f>
            </strRef>
          </tx>
          <spPr>
            <a:ln>
              <a:prstDash val="solid"/>
            </a:ln>
          </spPr>
          <cat>
            <numRef>
              <f>'Analytics'!$A$5:$A$10</f>
            </numRef>
          </cat>
          <val>
            <numRef>
              <f>'Analytics'!$B$5:$B$10</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17</row>
      <rowOff>0</rowOff>
    </from>
    <ext cx="3960000" cy="23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2</row>
      <rowOff>0</rowOff>
    </from>
    <ext cx="432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N15"/>
  <sheetViews>
    <sheetView showGridLines="1"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40" customHeight="1">
      <c r="A1" s="1" t="inlineStr">
        <is>
          <t xml:space="preserve">  就活状況ダッシュボード (Dashboard)</t>
        </is>
      </c>
    </row>
    <row r="2"/>
    <row r="3">
      <c r="B3" s="2" t="inlineStr">
        <is>
          <t>応募企業数</t>
        </is>
      </c>
      <c r="C3" s="3" t="n"/>
      <c r="E3" s="2" t="inlineStr">
        <is>
          <t>ES提出中</t>
        </is>
      </c>
      <c r="F3" s="3" t="n"/>
      <c r="H3" s="2" t="inlineStr">
        <is>
          <t>ES通過</t>
        </is>
      </c>
      <c r="I3" s="3" t="n"/>
      <c r="K3" s="2" t="inlineStr">
        <is>
          <t>SPI受験</t>
        </is>
      </c>
      <c r="L3" s="3" t="n"/>
    </row>
    <row r="4">
      <c r="B4" s="4">
        <f>COUNTA(Companies!A2:A100)</f>
        <v/>
      </c>
      <c r="C4" s="3" t="n"/>
      <c r="E4" s="4">
        <f>COUNTIF(Companies!E2:E100, "ES提出中")</f>
        <v/>
      </c>
      <c r="F4" s="3" t="n"/>
      <c r="H4" s="4">
        <f>COUNTIF(Companies!E2:E100, "ES通過")</f>
        <v/>
      </c>
      <c r="I4" s="3" t="n"/>
      <c r="K4" s="4">
        <f>COUNTIF(Companies!E2:E100, "SPI受験")</f>
        <v/>
      </c>
      <c r="L4" s="3" t="n"/>
    </row>
    <row r="5"/>
    <row r="6">
      <c r="B6" s="2" t="inlineStr">
        <is>
          <t>面接中</t>
        </is>
      </c>
      <c r="C6" s="3" t="n"/>
      <c r="E6" s="2" t="inlineStr">
        <is>
          <t>結果待ち</t>
        </is>
      </c>
      <c r="F6" s="3" t="n"/>
      <c r="H6" s="2" t="inlineStr">
        <is>
          <t>インターン決定</t>
        </is>
      </c>
      <c r="I6" s="3" t="n"/>
      <c r="K6" s="2" t="inlineStr">
        <is>
          <t>内定</t>
        </is>
      </c>
      <c r="L6" s="3" t="n"/>
    </row>
    <row r="7">
      <c r="B7" s="4">
        <f>COUNTIF(Companies!E2:E100, "*面接*") + COUNTIF(Companies!E2:E100, "GD予定")</f>
        <v/>
      </c>
      <c r="C7" s="3" t="n"/>
      <c r="E7" s="4">
        <f>COUNTIF(Companies!E2:E100, "結果待ち")</f>
        <v/>
      </c>
      <c r="F7" s="3" t="n"/>
      <c r="H7" s="4">
        <f>COUNTIF(Companies!E2:E100, "インターン決定") + COUNTIF(Companies!E2:E100, "インターン参加予定")</f>
        <v/>
      </c>
      <c r="I7" s="3" t="n"/>
      <c r="K7" s="4">
        <f>COUNTIF(Companies!E2:E100, "内定")</f>
        <v/>
      </c>
      <c r="L7" s="3" t="n"/>
    </row>
    <row r="8"/>
    <row r="9"/>
    <row r="10">
      <c r="B10" s="5" t="inlineStr">
        <is>
          <t>選考通過率分析</t>
        </is>
      </c>
      <c r="F10" s="5" t="inlineStr">
        <is>
          <t>優先度別応募件数</t>
        </is>
      </c>
    </row>
    <row r="11"/>
    <row r="12">
      <c r="B12" s="3" t="inlineStr">
        <is>
          <t>ES通過率</t>
        </is>
      </c>
      <c r="C12" s="6">
        <f>COUNTIF(Companies!E2:E100, "ES通過")+COUNTIF(Companies!E2:E100, "*面接*")+COUNTIF(Companies!E2:E100, "内定")</f>
        <v/>
      </c>
      <c r="D12" s="7">
        <f>IF(B4&gt;0, C12/B4, 0)</f>
        <v/>
      </c>
      <c r="F12" s="3" t="inlineStr">
        <is>
          <t>Sランク</t>
        </is>
      </c>
      <c r="G12" s="6">
        <f>COUNTIF(Companies!C2:C100, "S")</f>
        <v/>
      </c>
    </row>
    <row r="13">
      <c r="B13" s="3" t="inlineStr">
        <is>
          <t>SPI通過率</t>
        </is>
      </c>
      <c r="C13" s="6">
        <f>COUNTIF(Companies!E2:E100, "SPI通過")+COUNTIF(Companies!E2:E100, "*面接*")+COUNTIF(Companies!E2:E100, "内定")</f>
        <v/>
      </c>
      <c r="D13" s="7">
        <f>IF(B4&gt;0, C13/B4, 0)</f>
        <v/>
      </c>
      <c r="F13" s="3" t="inlineStr">
        <is>
          <t>Aランク</t>
        </is>
      </c>
      <c r="G13" s="6">
        <f>COUNTIF(Companies!C2:C100, "A")</f>
        <v/>
      </c>
    </row>
    <row r="14">
      <c r="B14" s="3" t="inlineStr">
        <is>
          <t>面接通過率</t>
        </is>
      </c>
      <c r="C14" s="6">
        <f>COUNTIF(Companies!E2:E100, "二次面接通過")+COUNTIF(Companies!E2:E100, "最終面接通過")+COUNTIF(Companies!E2:E100, "内定")</f>
        <v/>
      </c>
      <c r="D14" s="7">
        <f>IF(B4&gt;0, C14/B4, 0)</f>
        <v/>
      </c>
      <c r="F14" s="3" t="inlineStr">
        <is>
          <t>Bランク</t>
        </is>
      </c>
      <c r="G14" s="6">
        <f>COUNTIF(Companies!C2:C100, "B")</f>
        <v/>
      </c>
    </row>
    <row r="15">
      <c r="B15" s="3" t="inlineStr">
        <is>
          <t>インターン参加率</t>
        </is>
      </c>
      <c r="C15" s="6">
        <f>COUNTIF(Companies!E2:E100, "インターン参加中")+COUNTIF(Companies!E2:E100, "インターン決定")</f>
        <v/>
      </c>
      <c r="D15" s="7">
        <f>IF(B4&gt;0, C15/B4, 0)</f>
        <v/>
      </c>
      <c r="F15" s="3" t="inlineStr">
        <is>
          <t>Cランク</t>
        </is>
      </c>
      <c r="G15" s="6">
        <f>COUNTIF(Companies!C2:C100, "C")</f>
        <v/>
      </c>
    </row>
  </sheetData>
  <mergeCells count="17">
    <mergeCell ref="E4:F4"/>
    <mergeCell ref="H3:I3"/>
    <mergeCell ref="B6:C6"/>
    <mergeCell ref="E6:F6"/>
    <mergeCell ref="H6:I6"/>
    <mergeCell ref="B7:C7"/>
    <mergeCell ref="K7:L7"/>
    <mergeCell ref="E7:F7"/>
    <mergeCell ref="B3:C3"/>
    <mergeCell ref="H7:I7"/>
    <mergeCell ref="K6:L6"/>
    <mergeCell ref="H4:I4"/>
    <mergeCell ref="K4:L4"/>
    <mergeCell ref="B4:C4"/>
    <mergeCell ref="E3:F3"/>
    <mergeCell ref="K3:L3"/>
    <mergeCell ref="A1:N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I13"/>
  <sheetViews>
    <sheetView showGridLines="1" workbookViewId="0">
      <pane xSplit="5" ySplit="4" topLeftCell="F5"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0" customWidth="1" min="3" max="3"/>
    <col width="14" customWidth="1" min="4" max="4"/>
    <col width="18"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c r="A1" s="8" t="inlineStr">
        <is>
          <t>【凡例】</t>
        </is>
      </c>
      <c r="B1" s="9" t="inlineStr">
        <is>
          <t>ES</t>
        </is>
      </c>
      <c r="C1" s="10" t="inlineStr">
        <is>
          <t>SPI</t>
        </is>
      </c>
      <c r="D1" s="11" t="inlineStr">
        <is>
          <t>GD</t>
        </is>
      </c>
      <c r="E1" s="12" t="inlineStr">
        <is>
          <t>面接</t>
        </is>
      </c>
      <c r="F1" s="13" t="inlineStr">
        <is>
          <t>インターン</t>
        </is>
      </c>
      <c r="G1" s="14" t="inlineStr">
        <is>
          <t>内定</t>
        </is>
      </c>
    </row>
    <row r="3">
      <c r="A3" s="15" t="inlineStr">
        <is>
          <t>企業名</t>
        </is>
      </c>
      <c r="B3" s="15" t="inlineStr">
        <is>
          <t>業界</t>
        </is>
      </c>
      <c r="C3" s="15" t="inlineStr">
        <is>
          <t>優先度</t>
        </is>
      </c>
      <c r="D3" s="15" t="inlineStr">
        <is>
          <t>志望度</t>
        </is>
      </c>
      <c r="E3" s="15" t="inlineStr">
        <is>
          <t>ステータス</t>
        </is>
      </c>
      <c r="F3" s="16" t="inlineStr">
        <is>
          <t>2026年 6月</t>
        </is>
      </c>
    </row>
    <row r="4">
      <c r="F4" s="17" t="inlineStr">
        <is>
          <t>1
(月)</t>
        </is>
      </c>
      <c r="G4" s="17" t="inlineStr">
        <is>
          <t>2
(火)</t>
        </is>
      </c>
      <c r="H4" s="17" t="inlineStr">
        <is>
          <t>3
(水)</t>
        </is>
      </c>
      <c r="I4" s="17" t="inlineStr">
        <is>
          <t>4
(木)</t>
        </is>
      </c>
      <c r="J4" s="17" t="inlineStr">
        <is>
          <t>5
(金)</t>
        </is>
      </c>
      <c r="K4" s="18" t="inlineStr">
        <is>
          <t>6
(土)</t>
        </is>
      </c>
      <c r="L4" s="19" t="inlineStr">
        <is>
          <t>7
(日)</t>
        </is>
      </c>
      <c r="M4" s="17" t="inlineStr">
        <is>
          <t>8
(月)</t>
        </is>
      </c>
      <c r="N4" s="17" t="inlineStr">
        <is>
          <t>9
(火)</t>
        </is>
      </c>
      <c r="O4" s="17" t="inlineStr">
        <is>
          <t>10
(水)</t>
        </is>
      </c>
      <c r="P4" s="17" t="inlineStr">
        <is>
          <t>11
(木)</t>
        </is>
      </c>
      <c r="Q4" s="17" t="inlineStr">
        <is>
          <t>12
(金)</t>
        </is>
      </c>
      <c r="R4" s="18" t="inlineStr">
        <is>
          <t>13
(土)</t>
        </is>
      </c>
      <c r="S4" s="19" t="inlineStr">
        <is>
          <t>14
(日)</t>
        </is>
      </c>
      <c r="T4" s="17" t="inlineStr">
        <is>
          <t>15
(月)</t>
        </is>
      </c>
      <c r="U4" s="17" t="inlineStr">
        <is>
          <t>16
(火)</t>
        </is>
      </c>
      <c r="V4" s="17" t="inlineStr">
        <is>
          <t>17
(水)</t>
        </is>
      </c>
      <c r="W4" s="17" t="inlineStr">
        <is>
          <t>18
(木)</t>
        </is>
      </c>
      <c r="X4" s="17" t="inlineStr">
        <is>
          <t>19
(金)</t>
        </is>
      </c>
      <c r="Y4" s="18" t="inlineStr">
        <is>
          <t>20
(土)</t>
        </is>
      </c>
      <c r="Z4" s="19" t="inlineStr">
        <is>
          <t>21
(日)</t>
        </is>
      </c>
      <c r="AA4" s="17" t="inlineStr">
        <is>
          <t>22
(月)</t>
        </is>
      </c>
      <c r="AB4" s="17" t="inlineStr">
        <is>
          <t>23
(火)</t>
        </is>
      </c>
      <c r="AC4" s="17" t="inlineStr">
        <is>
          <t>24
(水)</t>
        </is>
      </c>
      <c r="AD4" s="17" t="inlineStr">
        <is>
          <t>25
(木)</t>
        </is>
      </c>
      <c r="AE4" s="17" t="inlineStr">
        <is>
          <t>26
(金)</t>
        </is>
      </c>
      <c r="AF4" s="18" t="inlineStr">
        <is>
          <t>27
(土)</t>
        </is>
      </c>
      <c r="AG4" s="19" t="inlineStr">
        <is>
          <t>28
(日)</t>
        </is>
      </c>
      <c r="AH4" s="17" t="inlineStr">
        <is>
          <t>29
(月)</t>
        </is>
      </c>
      <c r="AI4" s="17" t="inlineStr">
        <is>
          <t>30
(火)</t>
        </is>
      </c>
    </row>
    <row r="5" ht="22" customHeight="1">
      <c r="A5" s="20" t="inlineStr">
        <is>
          <t>PwCコンサルティング</t>
        </is>
      </c>
      <c r="B5" s="20" t="inlineStr">
        <is>
          <t>コンサルティング</t>
        </is>
      </c>
      <c r="C5" s="21" t="inlineStr">
        <is>
          <t>S</t>
        </is>
      </c>
      <c r="D5" s="20" t="inlineStr">
        <is>
          <t>★★★★★</t>
        </is>
      </c>
      <c r="E5" s="20" t="inlineStr">
        <is>
          <t>面接中</t>
        </is>
      </c>
      <c r="F5" s="22" t="inlineStr">
        <is>
          <t>ES</t>
        </is>
      </c>
      <c r="G5" s="23" t="n"/>
      <c r="H5" s="23" t="n"/>
      <c r="I5" s="23" t="n"/>
      <c r="J5" s="24" t="n"/>
      <c r="K5" s="25" t="n"/>
      <c r="L5" s="26" t="n"/>
      <c r="M5" s="3" t="n"/>
      <c r="N5" s="3" t="n"/>
      <c r="O5" s="27" t="inlineStr">
        <is>
          <t>面接</t>
        </is>
      </c>
      <c r="P5" s="23" t="n"/>
      <c r="Q5" s="23" t="n"/>
      <c r="R5" s="23" t="n"/>
      <c r="S5" s="24" t="n"/>
      <c r="T5" s="3" t="n"/>
      <c r="U5" s="3" t="n"/>
      <c r="V5" s="3" t="n"/>
      <c r="W5" s="3" t="n"/>
      <c r="X5" s="3" t="n"/>
      <c r="Y5" s="25" t="n"/>
      <c r="Z5" s="26" t="n"/>
      <c r="AA5" s="28" t="inlineStr">
        <is>
          <t>インターン</t>
        </is>
      </c>
      <c r="AB5" s="23" t="n"/>
      <c r="AC5" s="23" t="n"/>
      <c r="AD5" s="23" t="n"/>
      <c r="AE5" s="24" t="n"/>
      <c r="AF5" s="25" t="n"/>
      <c r="AG5" s="26" t="n"/>
      <c r="AH5" s="3" t="n"/>
      <c r="AI5" s="3" t="n"/>
    </row>
    <row r="6" ht="22" customHeight="1">
      <c r="A6" s="20" t="inlineStr">
        <is>
          <t>三菱商事</t>
        </is>
      </c>
      <c r="B6" s="20" t="inlineStr">
        <is>
          <t>商社</t>
        </is>
      </c>
      <c r="C6" s="21" t="inlineStr">
        <is>
          <t>S</t>
        </is>
      </c>
      <c r="D6" s="20" t="inlineStr">
        <is>
          <t>★★★★★</t>
        </is>
      </c>
      <c r="E6" s="20" t="inlineStr">
        <is>
          <t>ES提出中</t>
        </is>
      </c>
      <c r="F6" s="3" t="n"/>
      <c r="G6" s="3" t="n"/>
      <c r="H6" s="3" t="n"/>
      <c r="I6" s="3" t="n"/>
      <c r="J6" s="3" t="n"/>
      <c r="K6" s="25" t="n"/>
      <c r="L6" s="26" t="n"/>
      <c r="M6" s="3" t="n"/>
      <c r="N6" s="3" t="n"/>
      <c r="O6" s="3" t="n"/>
      <c r="P6" s="3" t="n"/>
      <c r="Q6" s="3" t="n"/>
      <c r="R6" s="25" t="n"/>
      <c r="S6" s="29" t="n"/>
      <c r="T6" s="22" t="inlineStr">
        <is>
          <t>ES</t>
        </is>
      </c>
      <c r="U6" s="23" t="n"/>
      <c r="V6" s="23" t="n"/>
      <c r="W6" s="23" t="n"/>
      <c r="X6" s="23" t="n"/>
      <c r="Y6" s="23" t="n"/>
      <c r="Z6" s="23" t="n"/>
      <c r="AA6" s="23" t="n"/>
      <c r="AB6" s="23" t="n"/>
      <c r="AC6" s="23" t="n"/>
      <c r="AD6" s="24" t="n"/>
      <c r="AE6" s="3" t="n"/>
      <c r="AF6" s="25" t="n"/>
      <c r="AG6" s="26" t="n"/>
      <c r="AH6" s="3" t="n"/>
      <c r="AI6" s="3" t="n"/>
    </row>
    <row r="7" ht="22" customHeight="1">
      <c r="A7" s="20" t="inlineStr">
        <is>
          <t>トヨタ自動車</t>
        </is>
      </c>
      <c r="B7" s="20" t="inlineStr">
        <is>
          <t>メーカー</t>
        </is>
      </c>
      <c r="C7" s="30" t="inlineStr">
        <is>
          <t>A</t>
        </is>
      </c>
      <c r="D7" s="20" t="inlineStr">
        <is>
          <t>★★★★☆</t>
        </is>
      </c>
      <c r="E7" s="20" t="inlineStr">
        <is>
          <t>インターン参加予定</t>
        </is>
      </c>
      <c r="F7" s="3" t="n"/>
      <c r="G7" s="3" t="n"/>
      <c r="H7" s="3" t="n"/>
      <c r="I7" s="3" t="n"/>
      <c r="J7" s="27" t="inlineStr">
        <is>
          <t>面接</t>
        </is>
      </c>
      <c r="K7" s="23" t="n"/>
      <c r="L7" s="23" t="n"/>
      <c r="M7" s="23" t="n"/>
      <c r="N7" s="24" t="n"/>
      <c r="O7" s="3" t="n"/>
      <c r="P7" s="3" t="n"/>
      <c r="Q7" s="3" t="n"/>
      <c r="R7" s="25" t="n"/>
      <c r="S7" s="29" t="n"/>
      <c r="T7" s="3" t="n"/>
      <c r="U7" s="3" t="n"/>
      <c r="V7" s="3" t="n"/>
      <c r="W7" s="3" t="n"/>
      <c r="X7" s="3" t="n"/>
      <c r="Y7" s="25" t="n"/>
      <c r="Z7" s="26" t="n"/>
      <c r="AA7" s="3" t="n"/>
      <c r="AB7" s="3" t="n"/>
      <c r="AC7" s="3" t="n"/>
      <c r="AD7" s="3" t="n"/>
      <c r="AE7" s="3" t="n"/>
      <c r="AF7" s="25" t="n"/>
      <c r="AG7" s="26" t="n"/>
      <c r="AH7" s="3" t="n"/>
      <c r="AI7" s="3" t="n"/>
    </row>
    <row r="8" ht="22" customHeight="1">
      <c r="A8" s="20" t="inlineStr">
        <is>
          <t>リクルート</t>
        </is>
      </c>
      <c r="B8" s="20" t="inlineStr">
        <is>
          <t>IT・Web</t>
        </is>
      </c>
      <c r="C8" s="30" t="inlineStr">
        <is>
          <t>A</t>
        </is>
      </c>
      <c r="D8" s="20" t="inlineStr">
        <is>
          <t>★★★★☆</t>
        </is>
      </c>
      <c r="E8" s="20" t="inlineStr">
        <is>
          <t>SPI受験</t>
        </is>
      </c>
      <c r="F8" s="3" t="n"/>
      <c r="G8" s="3" t="n"/>
      <c r="H8" s="3" t="n"/>
      <c r="I8" s="3" t="n"/>
      <c r="J8" s="3" t="n"/>
      <c r="K8" s="25" t="n"/>
      <c r="L8" s="26" t="n"/>
      <c r="M8" s="3" t="n"/>
      <c r="N8" s="3" t="n"/>
      <c r="O8" s="3" t="n"/>
      <c r="P8" s="3" t="n"/>
      <c r="Q8" s="31" t="inlineStr">
        <is>
          <t>SPI</t>
        </is>
      </c>
      <c r="R8" s="23" t="n"/>
      <c r="S8" s="23" t="n"/>
      <c r="T8" s="23" t="n"/>
      <c r="U8" s="23" t="n"/>
      <c r="V8" s="23" t="n"/>
      <c r="W8" s="24" t="n"/>
      <c r="X8" s="3" t="n"/>
      <c r="Y8" s="25" t="n"/>
      <c r="Z8" s="26" t="n"/>
      <c r="AA8" s="3" t="n"/>
      <c r="AB8" s="3" t="n"/>
      <c r="AC8" s="3" t="n"/>
      <c r="AD8" s="3" t="n"/>
      <c r="AE8" s="3" t="n"/>
      <c r="AF8" s="25" t="n"/>
      <c r="AG8" s="26" t="n"/>
      <c r="AH8" s="3" t="n"/>
      <c r="AI8" s="3" t="n"/>
    </row>
    <row r="9" ht="22" customHeight="1">
      <c r="A9" s="20" t="inlineStr">
        <is>
          <t>野村総合研究所</t>
        </is>
      </c>
      <c r="B9" s="20" t="inlineStr">
        <is>
          <t>シンクタンク</t>
        </is>
      </c>
      <c r="C9" s="30" t="inlineStr">
        <is>
          <t>A</t>
        </is>
      </c>
      <c r="D9" s="20" t="inlineStr">
        <is>
          <t>★★★★☆</t>
        </is>
      </c>
      <c r="E9" s="20" t="inlineStr">
        <is>
          <t>GD予定</t>
        </is>
      </c>
      <c r="F9" s="3" t="n"/>
      <c r="G9" s="3" t="n"/>
      <c r="H9" s="3" t="n"/>
      <c r="I9" s="3" t="n"/>
      <c r="J9" s="3" t="n"/>
      <c r="K9" s="25" t="n"/>
      <c r="L9" s="26" t="n"/>
      <c r="M9" s="3" t="n"/>
      <c r="N9" s="3" t="n"/>
      <c r="O9" s="3" t="n"/>
      <c r="P9" s="3" t="n"/>
      <c r="Q9" s="3" t="n"/>
      <c r="R9" s="25" t="n"/>
      <c r="S9" s="29" t="n"/>
      <c r="T9" s="3" t="n"/>
      <c r="U9" s="3" t="n"/>
      <c r="V9" s="3" t="n"/>
      <c r="W9" s="32" t="inlineStr">
        <is>
          <t>GD</t>
        </is>
      </c>
      <c r="X9" s="23" t="n"/>
      <c r="Y9" s="23" t="n"/>
      <c r="Z9" s="24" t="n"/>
      <c r="AA9" s="3" t="n"/>
      <c r="AB9" s="3" t="n"/>
      <c r="AC9" s="3" t="n"/>
      <c r="AD9" s="3" t="n"/>
      <c r="AE9" s="3" t="n"/>
      <c r="AF9" s="25" t="n"/>
      <c r="AG9" s="26" t="n"/>
      <c r="AH9" s="3" t="n"/>
      <c r="AI9" s="3" t="n"/>
    </row>
    <row r="10" ht="22" customHeight="1">
      <c r="A10" s="20" t="inlineStr">
        <is>
          <t>ソニー</t>
        </is>
      </c>
      <c r="B10" s="20" t="inlineStr">
        <is>
          <t>メーカー</t>
        </is>
      </c>
      <c r="C10" s="33" t="inlineStr">
        <is>
          <t>B</t>
        </is>
      </c>
      <c r="D10" s="20" t="inlineStr">
        <is>
          <t>★★★☆☆</t>
        </is>
      </c>
      <c r="E10" s="20" t="inlineStr">
        <is>
          <t>応募済</t>
        </is>
      </c>
      <c r="F10" s="3" t="n"/>
      <c r="G10" s="3" t="n"/>
      <c r="H10" s="3" t="n"/>
      <c r="I10" s="3" t="n"/>
      <c r="J10" s="3" t="n"/>
      <c r="K10" s="25" t="n"/>
      <c r="L10" s="26" t="n"/>
      <c r="M10" s="3" t="n"/>
      <c r="N10" s="3" t="n"/>
      <c r="O10" s="3" t="n"/>
      <c r="P10" s="3" t="n"/>
      <c r="Q10" s="3" t="n"/>
      <c r="R10" s="25" t="n"/>
      <c r="S10" s="29" t="n"/>
      <c r="T10" s="3" t="n"/>
      <c r="U10" s="3" t="n"/>
      <c r="V10" s="3" t="n"/>
      <c r="W10" s="3" t="n"/>
      <c r="X10" s="3" t="n"/>
      <c r="Y10" s="22" t="inlineStr">
        <is>
          <t>ES</t>
        </is>
      </c>
      <c r="Z10" s="23" t="n"/>
      <c r="AA10" s="23" t="n"/>
      <c r="AB10" s="23" t="n"/>
      <c r="AC10" s="23" t="n"/>
      <c r="AD10" s="23" t="n"/>
      <c r="AE10" s="23" t="n"/>
      <c r="AF10" s="23" t="n"/>
      <c r="AG10" s="23" t="n"/>
      <c r="AH10" s="23" t="n"/>
      <c r="AI10" s="24" t="n"/>
    </row>
    <row r="11" ht="22" customHeight="1">
      <c r="A11" s="20" t="inlineStr">
        <is>
          <t>楽天グループ</t>
        </is>
      </c>
      <c r="B11" s="20" t="inlineStr">
        <is>
          <t>IT・Web</t>
        </is>
      </c>
      <c r="C11" s="33" t="inlineStr">
        <is>
          <t>B</t>
        </is>
      </c>
      <c r="D11" s="20" t="inlineStr">
        <is>
          <t>★★★☆☆</t>
        </is>
      </c>
      <c r="E11" s="20" t="inlineStr">
        <is>
          <t>内定</t>
        </is>
      </c>
      <c r="F11" s="3" t="n"/>
      <c r="G11" s="3" t="n"/>
      <c r="H11" s="3" t="n"/>
      <c r="I11" s="3" t="n"/>
      <c r="J11" s="3" t="n"/>
      <c r="K11" s="25" t="n"/>
      <c r="L11" s="26" t="n"/>
      <c r="M11" s="3" t="n"/>
      <c r="N11" s="3" t="n"/>
      <c r="O11" s="3" t="n"/>
      <c r="P11" s="3" t="n"/>
      <c r="Q11" s="3" t="n"/>
      <c r="R11" s="25" t="n"/>
      <c r="S11" s="29" t="n"/>
      <c r="T11" s="3" t="n"/>
      <c r="U11" s="3" t="n"/>
      <c r="V11" s="3" t="n"/>
      <c r="W11" s="3" t="n"/>
      <c r="X11" s="3" t="n"/>
      <c r="Y11" s="25" t="n"/>
      <c r="Z11" s="26" t="n"/>
      <c r="AA11" s="3" t="n"/>
      <c r="AB11" s="3" t="n"/>
      <c r="AC11" s="3" t="n"/>
      <c r="AD11" s="3" t="n"/>
      <c r="AE11" s="3" t="n"/>
      <c r="AF11" s="25" t="n"/>
      <c r="AG11" s="26" t="n"/>
      <c r="AH11" s="3" t="n"/>
      <c r="AI11" s="3" t="n"/>
    </row>
    <row r="12" ht="22" customHeight="1">
      <c r="A12" s="20" t="inlineStr">
        <is>
          <t>アクセンチュア</t>
        </is>
      </c>
      <c r="B12" s="20" t="inlineStr">
        <is>
          <t>コンサルティング</t>
        </is>
      </c>
      <c r="C12" s="33" t="inlineStr">
        <is>
          <t>B</t>
        </is>
      </c>
      <c r="D12" s="20" t="inlineStr">
        <is>
          <t>★★★☆☆</t>
        </is>
      </c>
      <c r="E12" s="20" t="inlineStr">
        <is>
          <t>ES通過</t>
        </is>
      </c>
      <c r="F12" s="3" t="n"/>
      <c r="G12" s="3" t="n"/>
      <c r="H12" s="3" t="n"/>
      <c r="I12" s="3" t="n"/>
      <c r="J12" s="3" t="n"/>
      <c r="K12" s="25" t="n"/>
      <c r="L12" s="26" t="n"/>
      <c r="M12" s="3" t="n"/>
      <c r="N12" s="3" t="n"/>
      <c r="O12" s="3" t="n"/>
      <c r="P12" s="3" t="n"/>
      <c r="Q12" s="3" t="n"/>
      <c r="R12" s="25" t="n"/>
      <c r="S12" s="29" t="n"/>
      <c r="T12" s="3" t="n"/>
      <c r="U12" s="3" t="n"/>
      <c r="V12" s="3" t="n"/>
      <c r="W12" s="3" t="n"/>
      <c r="X12" s="3" t="n"/>
      <c r="Y12" s="25" t="n"/>
      <c r="Z12" s="26" t="n"/>
      <c r="AA12" s="3" t="n"/>
      <c r="AB12" s="3" t="n"/>
      <c r="AC12" s="3" t="n"/>
      <c r="AD12" s="3" t="n"/>
      <c r="AE12" s="3" t="n"/>
      <c r="AF12" s="25" t="n"/>
      <c r="AG12" s="26" t="n"/>
      <c r="AH12" s="3" t="n"/>
      <c r="AI12" s="3" t="n"/>
    </row>
    <row r="13" ht="22" customHeight="1">
      <c r="A13" s="20" t="inlineStr">
        <is>
          <t>みずほフィナンシャルG</t>
        </is>
      </c>
      <c r="B13" s="20" t="inlineStr">
        <is>
          <t>金融</t>
        </is>
      </c>
      <c r="C13" s="34" t="inlineStr">
        <is>
          <t>C</t>
        </is>
      </c>
      <c r="D13" s="20" t="inlineStr">
        <is>
          <t>★★☆☆☆</t>
        </is>
      </c>
      <c r="E13" s="20" t="inlineStr">
        <is>
          <t>辞退</t>
        </is>
      </c>
      <c r="F13" s="3" t="n"/>
      <c r="G13" s="3" t="n"/>
      <c r="H13" s="3" t="n"/>
      <c r="I13" s="3" t="n"/>
      <c r="J13" s="3" t="n"/>
      <c r="K13" s="25" t="n"/>
      <c r="L13" s="26" t="n"/>
      <c r="M13" s="3" t="n"/>
      <c r="N13" s="3" t="n"/>
      <c r="O13" s="3" t="n"/>
      <c r="P13" s="3" t="n"/>
      <c r="Q13" s="3" t="n"/>
      <c r="R13" s="25" t="n"/>
      <c r="S13" s="29" t="n"/>
      <c r="T13" s="3" t="n"/>
      <c r="U13" s="3" t="n"/>
      <c r="V13" s="3" t="n"/>
      <c r="W13" s="3" t="n"/>
      <c r="X13" s="3" t="n"/>
      <c r="Y13" s="25" t="n"/>
      <c r="Z13" s="26" t="n"/>
      <c r="AA13" s="3" t="n"/>
      <c r="AB13" s="3" t="n"/>
      <c r="AC13" s="3" t="n"/>
      <c r="AD13" s="3" t="n"/>
      <c r="AE13" s="3" t="n"/>
      <c r="AF13" s="25" t="n"/>
      <c r="AG13" s="26" t="n"/>
      <c r="AH13" s="3" t="n"/>
      <c r="AI13" s="3" t="n"/>
    </row>
  </sheetData>
  <mergeCells count="14">
    <mergeCell ref="W9:Z9"/>
    <mergeCell ref="C3:C4"/>
    <mergeCell ref="B3:B4"/>
    <mergeCell ref="A3:A4"/>
    <mergeCell ref="E3:E4"/>
    <mergeCell ref="F3:AI3"/>
    <mergeCell ref="O5:S5"/>
    <mergeCell ref="F5:J5"/>
    <mergeCell ref="D3:D4"/>
    <mergeCell ref="T6:AD6"/>
    <mergeCell ref="J7:N7"/>
    <mergeCell ref="Q8:W8"/>
    <mergeCell ref="AA5:AE5"/>
    <mergeCell ref="Y10:AI10"/>
  </mergeCells>
  <dataValidations count="3">
    <dataValidation sqref="C5 C6 C7 C8 C9 C10 C11 C12 C13" showDropDown="0" showInputMessage="0" showErrorMessage="0" allowBlank="1" type="list">
      <formula1>=Companies!$K$2:$K$5</formula1>
    </dataValidation>
    <dataValidation sqref="D5 D6 D7 D8 D9 D10 D11 D12 D13" showDropDown="0" showInputMessage="0" showErrorMessage="0" allowBlank="1" type="list">
      <formula1>=Companies!$L$2:$L$6</formula1>
    </dataValidation>
    <dataValidation sqref="E5 E6 E7 E8 E9 E10 E11 E12 E13" showDropDown="0" showInputMessage="0" showErrorMessage="0" allowBlank="1" type="list">
      <formula1>=Companies!$J$2:$J$20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9"/>
  <sheetViews>
    <sheetView showGridLines="1" workbookViewId="0">
      <selection activeCell="A1" sqref="A1"/>
    </sheetView>
  </sheetViews>
  <sheetFormatPr baseColWidth="8" defaultRowHeight="15"/>
  <cols>
    <col width="24" customWidth="1" min="1" max="1"/>
    <col width="16" customWidth="1" min="2" max="2"/>
    <col width="30" customWidth="1" min="8" max="8"/>
  </cols>
  <sheetData>
    <row r="1">
      <c r="A1" s="35" t="inlineStr">
        <is>
          <t>企業名</t>
        </is>
      </c>
      <c r="B1" s="35" t="inlineStr">
        <is>
          <t>業界</t>
        </is>
      </c>
      <c r="C1" s="35" t="inlineStr">
        <is>
          <t>優先度</t>
        </is>
      </c>
      <c r="D1" s="35" t="inlineStr">
        <is>
          <t>志望度</t>
        </is>
      </c>
      <c r="E1" s="35" t="inlineStr">
        <is>
          <t>ステータス</t>
        </is>
      </c>
      <c r="F1" s="35" t="inlineStr">
        <is>
          <t>応募日</t>
        </is>
      </c>
      <c r="G1" s="35" t="inlineStr">
        <is>
          <t>ES締切</t>
        </is>
      </c>
      <c r="H1" s="35" t="inlineStr">
        <is>
          <t>備考</t>
        </is>
      </c>
    </row>
    <row r="2">
      <c r="A2" s="36" t="inlineStr">
        <is>
          <t>PwCコンサルティング</t>
        </is>
      </c>
      <c r="B2" s="36" t="inlineStr">
        <is>
          <t>コンサルティング</t>
        </is>
      </c>
      <c r="C2" s="36" t="inlineStr">
        <is>
          <t>S</t>
        </is>
      </c>
      <c r="D2" s="36" t="inlineStr">
        <is>
          <t>★★★★★</t>
        </is>
      </c>
      <c r="E2" s="36" t="inlineStr">
        <is>
          <t>面接中</t>
        </is>
      </c>
      <c r="F2" s="36" t="inlineStr">
        <is>
          <t>2026-05-10</t>
        </is>
      </c>
      <c r="G2" s="36" t="inlineStr">
        <is>
          <t>2026-06-05</t>
        </is>
      </c>
      <c r="H2" s="36" t="inlineStr">
        <is>
          <t>第一志望。面接対策必須</t>
        </is>
      </c>
      <c r="J2" t="inlineStr">
        <is>
          <t>応募済</t>
        </is>
      </c>
      <c r="K2" t="inlineStr">
        <is>
          <t>S</t>
        </is>
      </c>
      <c r="L2" t="inlineStr">
        <is>
          <t>★★★★★</t>
        </is>
      </c>
    </row>
    <row r="3">
      <c r="A3" s="36" t="inlineStr">
        <is>
          <t>三菱商事</t>
        </is>
      </c>
      <c r="B3" s="36" t="inlineStr">
        <is>
          <t>商社</t>
        </is>
      </c>
      <c r="C3" s="36" t="inlineStr">
        <is>
          <t>S</t>
        </is>
      </c>
      <c r="D3" s="36" t="inlineStr">
        <is>
          <t>★★★★★</t>
        </is>
      </c>
      <c r="E3" s="36" t="inlineStr">
        <is>
          <t>ES提出中</t>
        </is>
      </c>
      <c r="F3" s="36" t="inlineStr">
        <is>
          <t>2026-06-01</t>
        </is>
      </c>
      <c r="G3" s="36" t="inlineStr">
        <is>
          <t>2026-06-25</t>
        </is>
      </c>
      <c r="H3" s="36" t="inlineStr">
        <is>
          <t>OB訪問3名実施済</t>
        </is>
      </c>
      <c r="J3" t="inlineStr">
        <is>
          <t>ES提出中</t>
        </is>
      </c>
      <c r="K3" t="inlineStr">
        <is>
          <t>A</t>
        </is>
      </c>
      <c r="L3" t="inlineStr">
        <is>
          <t>★★★★☆</t>
        </is>
      </c>
    </row>
    <row r="4">
      <c r="A4" s="36" t="inlineStr">
        <is>
          <t>トヨタ自動車</t>
        </is>
      </c>
      <c r="B4" s="36" t="inlineStr">
        <is>
          <t>メーカー</t>
        </is>
      </c>
      <c r="C4" s="36" t="inlineStr">
        <is>
          <t>A</t>
        </is>
      </c>
      <c r="D4" s="36" t="inlineStr">
        <is>
          <t>★★★★☆</t>
        </is>
      </c>
      <c r="E4" s="36" t="inlineStr">
        <is>
          <t>インターン参加予定</t>
        </is>
      </c>
      <c r="F4" s="36" t="inlineStr">
        <is>
          <t>2026-05-15</t>
        </is>
      </c>
      <c r="G4" s="36" t="inlineStr">
        <is>
          <t>2026-06-10</t>
        </is>
      </c>
      <c r="H4" s="36" t="inlineStr">
        <is>
          <t>インターン選考通過、8月参加</t>
        </is>
      </c>
      <c r="J4" t="inlineStr">
        <is>
          <t>ES通過</t>
        </is>
      </c>
      <c r="K4" t="inlineStr">
        <is>
          <t>B</t>
        </is>
      </c>
      <c r="L4" t="inlineStr">
        <is>
          <t>★★★☆☆</t>
        </is>
      </c>
    </row>
    <row r="5">
      <c r="A5" s="36" t="inlineStr">
        <is>
          <t>リクルート</t>
        </is>
      </c>
      <c r="B5" s="36" t="inlineStr">
        <is>
          <t>IT・Web</t>
        </is>
      </c>
      <c r="C5" s="36" t="inlineStr">
        <is>
          <t>A</t>
        </is>
      </c>
      <c r="D5" s="36" t="inlineStr">
        <is>
          <t>★★★★☆</t>
        </is>
      </c>
      <c r="E5" s="36" t="inlineStr">
        <is>
          <t>SPI受験</t>
        </is>
      </c>
      <c r="F5" s="36" t="inlineStr">
        <is>
          <t>2026-05-20</t>
        </is>
      </c>
      <c r="G5" s="36" t="inlineStr">
        <is>
          <t>2026-06-15</t>
        </is>
      </c>
      <c r="H5" s="36" t="inlineStr">
        <is>
          <t>テストセンター受験予定</t>
        </is>
      </c>
      <c r="J5" t="inlineStr">
        <is>
          <t>ES不通過</t>
        </is>
      </c>
      <c r="K5" t="inlineStr">
        <is>
          <t>C</t>
        </is>
      </c>
      <c r="L5" t="inlineStr">
        <is>
          <t>★★☆☆☆</t>
        </is>
      </c>
    </row>
    <row r="6">
      <c r="A6" s="36" t="inlineStr">
        <is>
          <t>野村総合研究所</t>
        </is>
      </c>
      <c r="B6" s="36" t="inlineStr">
        <is>
          <t>シンクタンク</t>
        </is>
      </c>
      <c r="C6" s="36" t="inlineStr">
        <is>
          <t>A</t>
        </is>
      </c>
      <c r="D6" s="36" t="inlineStr">
        <is>
          <t>★★★★☆</t>
        </is>
      </c>
      <c r="E6" s="36" t="inlineStr">
        <is>
          <t>GD予定</t>
        </is>
      </c>
      <c r="F6" s="36" t="inlineStr">
        <is>
          <t>2026-05-12</t>
        </is>
      </c>
      <c r="G6" s="36" t="inlineStr">
        <is>
          <t>2026-06-12</t>
        </is>
      </c>
      <c r="H6" s="36" t="inlineStr">
        <is>
          <t>グループディスカッション対策</t>
        </is>
      </c>
      <c r="J6" t="inlineStr">
        <is>
          <t>SPI受験</t>
        </is>
      </c>
      <c r="L6" t="inlineStr">
        <is>
          <t>★☆☆☆☆</t>
        </is>
      </c>
    </row>
    <row r="7">
      <c r="A7" s="36" t="inlineStr">
        <is>
          <t>ソニー</t>
        </is>
      </c>
      <c r="B7" s="36" t="inlineStr">
        <is>
          <t>メーカー</t>
        </is>
      </c>
      <c r="C7" s="36" t="inlineStr">
        <is>
          <t>B</t>
        </is>
      </c>
      <c r="D7" s="36" t="inlineStr">
        <is>
          <t>★★★☆☆</t>
        </is>
      </c>
      <c r="E7" s="36" t="inlineStr">
        <is>
          <t>応募済</t>
        </is>
      </c>
      <c r="F7" s="36" t="inlineStr">
        <is>
          <t>2026-06-05</t>
        </is>
      </c>
      <c r="G7" s="36" t="inlineStr">
        <is>
          <t>2026-06-30</t>
        </is>
      </c>
      <c r="H7" s="36" t="inlineStr">
        <is>
          <t>本選考エントリー</t>
        </is>
      </c>
      <c r="J7" t="inlineStr">
        <is>
          <t>SPI通過</t>
        </is>
      </c>
    </row>
    <row r="8">
      <c r="A8" s="36" t="inlineStr">
        <is>
          <t>楽天グループ</t>
        </is>
      </c>
      <c r="B8" s="36" t="inlineStr">
        <is>
          <t>IT・Web</t>
        </is>
      </c>
      <c r="C8" s="36" t="inlineStr">
        <is>
          <t>B</t>
        </is>
      </c>
      <c r="D8" s="36" t="inlineStr">
        <is>
          <t>★★★☆☆</t>
        </is>
      </c>
      <c r="E8" s="36" t="inlineStr">
        <is>
          <t>内定</t>
        </is>
      </c>
      <c r="F8" s="36" t="inlineStr">
        <is>
          <t>2026-04-15</t>
        </is>
      </c>
      <c r="G8" s="36" t="inlineStr">
        <is>
          <t>2026-05-10</t>
        </is>
      </c>
      <c r="H8" s="36" t="inlineStr">
        <is>
          <t>早期内定。承諾保留中</t>
        </is>
      </c>
      <c r="J8" t="inlineStr">
        <is>
          <t>SPI不通過</t>
        </is>
      </c>
    </row>
    <row r="9">
      <c r="A9" s="36" t="inlineStr">
        <is>
          <t>アクセンチュア</t>
        </is>
      </c>
      <c r="B9" s="36" t="inlineStr">
        <is>
          <t>コンサルティング</t>
        </is>
      </c>
      <c r="C9" s="36" t="inlineStr">
        <is>
          <t>B</t>
        </is>
      </c>
      <c r="D9" s="36" t="inlineStr">
        <is>
          <t>★★★☆☆</t>
        </is>
      </c>
      <c r="E9" s="36" t="inlineStr">
        <is>
          <t>ES通過</t>
        </is>
      </c>
      <c r="F9" s="36" t="inlineStr">
        <is>
          <t>2026-05-01</t>
        </is>
      </c>
      <c r="G9" s="36" t="inlineStr">
        <is>
          <t>2026-05-25</t>
        </is>
      </c>
      <c r="H9" s="36" t="inlineStr">
        <is>
          <t>次ステージ面接</t>
        </is>
      </c>
      <c r="J9" t="inlineStr">
        <is>
          <t>GD予定</t>
        </is>
      </c>
    </row>
    <row r="10">
      <c r="A10" s="36" t="inlineStr">
        <is>
          <t>みずほフィナンシャルG</t>
        </is>
      </c>
      <c r="B10" s="36" t="inlineStr">
        <is>
          <t>金融</t>
        </is>
      </c>
      <c r="C10" s="36" t="inlineStr">
        <is>
          <t>C</t>
        </is>
      </c>
      <c r="D10" s="36" t="inlineStr">
        <is>
          <t>★★☆☆☆</t>
        </is>
      </c>
      <c r="E10" s="36" t="inlineStr">
        <is>
          <t>辞退</t>
        </is>
      </c>
      <c r="F10" s="36" t="inlineStr">
        <is>
          <t>2026-05-05</t>
        </is>
      </c>
      <c r="G10" s="36" t="inlineStr">
        <is>
          <t>2026-05-20</t>
        </is>
      </c>
      <c r="H10" s="36" t="inlineStr">
        <is>
          <t>他社内定のため辞退</t>
        </is>
      </c>
      <c r="J10" t="inlineStr">
        <is>
          <t>GD通過</t>
        </is>
      </c>
    </row>
    <row r="11">
      <c r="J11" t="inlineStr">
        <is>
          <t>GD不通過</t>
        </is>
      </c>
    </row>
    <row r="12">
      <c r="J12" t="inlineStr">
        <is>
          <t>一次面接通過</t>
        </is>
      </c>
    </row>
    <row r="13">
      <c r="J13" t="inlineStr">
        <is>
          <t>二次面接通過</t>
        </is>
      </c>
    </row>
    <row r="14">
      <c r="J14" t="inlineStr">
        <is>
          <t>最終面接通過</t>
        </is>
      </c>
    </row>
    <row r="15">
      <c r="J15" t="inlineStr">
        <is>
          <t>結果待ち</t>
        </is>
      </c>
    </row>
    <row r="16">
      <c r="J16" t="inlineStr">
        <is>
          <t>インターン参加予定</t>
        </is>
      </c>
    </row>
    <row r="17">
      <c r="J17" t="inlineStr">
        <is>
          <t>インターン参加中</t>
        </is>
      </c>
    </row>
    <row r="18">
      <c r="J18" t="inlineStr">
        <is>
          <t>インターン決定</t>
        </is>
      </c>
    </row>
    <row r="19">
      <c r="J19" t="inlineStr">
        <is>
          <t>内定</t>
        </is>
      </c>
    </row>
    <row r="20">
      <c r="J20" t="inlineStr">
        <is>
          <t>辞退</t>
        </is>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dataValidations count="3">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showDropDown="0" showInputMessage="0" showErrorMessage="0" allowBlank="0" type="list">
      <formula1>=Companies!$J$2:$J$20</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showDropDown="0" showInputMessage="0" showErrorMessage="0" allowBlank="0" type="list">
      <formula1>=Companies!$K$2:$K$5</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showDropDown="0" showInputMessage="0" showErrorMessage="0" allowBlank="0" type="list">
      <formula1>=Companies!$L$2:$L$6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showGridLines="1" workbookViewId="0">
      <selection activeCell="A1" sqref="A1"/>
    </sheetView>
  </sheetViews>
  <sheetFormatPr baseColWidth="8" defaultRowHeight="15"/>
  <cols>
    <col width="24" customWidth="1" min="1" max="1"/>
    <col width="32" customWidth="1" min="5" max="5"/>
  </cols>
  <sheetData>
    <row r="1">
      <c r="A1" s="37" t="inlineStr">
        <is>
          <t>企業名</t>
        </is>
      </c>
      <c r="B1" s="37" t="inlineStr">
        <is>
          <t>イベント種別</t>
        </is>
      </c>
      <c r="C1" s="37" t="inlineStr">
        <is>
          <t>開始日</t>
        </is>
      </c>
      <c r="D1" s="37" t="inlineStr">
        <is>
          <t>終了日</t>
        </is>
      </c>
      <c r="E1" s="37" t="inlineStr">
        <is>
          <t>備考</t>
        </is>
      </c>
    </row>
    <row r="2">
      <c r="A2" s="36" t="inlineStr">
        <is>
          <t>PwCコンサルティング</t>
        </is>
      </c>
      <c r="B2" s="36" t="inlineStr">
        <is>
          <t>ES</t>
        </is>
      </c>
      <c r="C2" s="36" t="inlineStr">
        <is>
          <t>2026-06-01</t>
        </is>
      </c>
      <c r="D2" s="36" t="inlineStr">
        <is>
          <t>2026-06-05</t>
        </is>
      </c>
      <c r="E2" s="36" t="inlineStr">
        <is>
          <t>志望動機のブラッシュアップ</t>
        </is>
      </c>
    </row>
    <row r="3">
      <c r="A3" s="36" t="inlineStr">
        <is>
          <t>PwCコンサルティング</t>
        </is>
      </c>
      <c r="B3" s="36" t="inlineStr">
        <is>
          <t>面接</t>
        </is>
      </c>
      <c r="C3" s="36" t="inlineStr">
        <is>
          <t>2026-06-10</t>
        </is>
      </c>
      <c r="D3" s="36" t="inlineStr">
        <is>
          <t>2026-06-14</t>
        </is>
      </c>
      <c r="E3" s="36" t="inlineStr">
        <is>
          <t>二次面接（ケース含む）</t>
        </is>
      </c>
    </row>
    <row r="4">
      <c r="A4" s="36" t="inlineStr">
        <is>
          <t>PwCコンサルティング</t>
        </is>
      </c>
      <c r="B4" s="36" t="inlineStr">
        <is>
          <t>インターン</t>
        </is>
      </c>
      <c r="C4" s="36" t="inlineStr">
        <is>
          <t>2026-06-22</t>
        </is>
      </c>
      <c r="D4" s="36" t="inlineStr">
        <is>
          <t>2026-06-26</t>
        </is>
      </c>
      <c r="E4" s="36" t="inlineStr">
        <is>
          <t>夏期5daysインターン</t>
        </is>
      </c>
    </row>
    <row r="5">
      <c r="A5" s="36" t="inlineStr">
        <is>
          <t>三菱商事</t>
        </is>
      </c>
      <c r="B5" s="36" t="inlineStr">
        <is>
          <t>ES</t>
        </is>
      </c>
      <c r="C5" s="36" t="inlineStr">
        <is>
          <t>2026-06-15</t>
        </is>
      </c>
      <c r="D5" s="36" t="inlineStr">
        <is>
          <t>2026-06-25</t>
        </is>
      </c>
      <c r="E5" s="36" t="inlineStr">
        <is>
          <t>インターンエントリー</t>
        </is>
      </c>
    </row>
    <row r="6">
      <c r="A6" s="36" t="inlineStr">
        <is>
          <t>トヨタ自動車</t>
        </is>
      </c>
      <c r="B6" s="36" t="inlineStr">
        <is>
          <t>面接</t>
        </is>
      </c>
      <c r="C6" s="36" t="inlineStr">
        <is>
          <t>2026-06-05</t>
        </is>
      </c>
      <c r="D6" s="36" t="inlineStr">
        <is>
          <t>2026-06-09</t>
        </is>
      </c>
      <c r="E6" s="36" t="inlineStr">
        <is>
          <t>インターン面接（パス済）</t>
        </is>
      </c>
    </row>
    <row r="7">
      <c r="A7" s="36" t="inlineStr">
        <is>
          <t>リクルート</t>
        </is>
      </c>
      <c r="B7" s="36" t="inlineStr">
        <is>
          <t>SPI</t>
        </is>
      </c>
      <c r="C7" s="36" t="inlineStr">
        <is>
          <t>2026-06-12</t>
        </is>
      </c>
      <c r="D7" s="36" t="inlineStr">
        <is>
          <t>2026-06-18</t>
        </is>
      </c>
      <c r="E7" s="36" t="inlineStr">
        <is>
          <t>Webテスト受験期間</t>
        </is>
      </c>
    </row>
    <row r="8">
      <c r="A8" s="36" t="inlineStr">
        <is>
          <t>野村総合研究所</t>
        </is>
      </c>
      <c r="B8" s="36" t="inlineStr">
        <is>
          <t>GD</t>
        </is>
      </c>
      <c r="C8" s="36" t="inlineStr">
        <is>
          <t>2026-06-18</t>
        </is>
      </c>
      <c r="D8" s="36" t="inlineStr">
        <is>
          <t>2026-06-21</t>
        </is>
      </c>
      <c r="E8" s="36" t="inlineStr">
        <is>
          <t>テーマ：新規事業立案</t>
        </is>
      </c>
    </row>
    <row r="9">
      <c r="A9" s="36" t="inlineStr">
        <is>
          <t>ソニー</t>
        </is>
      </c>
      <c r="B9" s="36" t="inlineStr">
        <is>
          <t>ES</t>
        </is>
      </c>
      <c r="C9" s="36" t="inlineStr">
        <is>
          <t>2026-06-20</t>
        </is>
      </c>
      <c r="D9" s="36" t="inlineStr">
        <is>
          <t>2026-06-30</t>
        </is>
      </c>
      <c r="E9" s="36" t="inlineStr">
        <is>
          <t>技術職エントリーシート</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
  <sheetViews>
    <sheetView showGridLines="1" workbookViewId="0">
      <selection activeCell="A1" sqref="A1"/>
    </sheetView>
  </sheetViews>
  <sheetFormatPr baseColWidth="8" defaultRowHeight="15"/>
  <cols>
    <col width="16" customWidth="1" min="1" max="1"/>
  </cols>
  <sheetData>
    <row r="1" ht="35" customHeight="1">
      <c r="A1" s="38" t="inlineStr">
        <is>
          <t xml:space="preserve">  就職活動 選考・統計分析レポーティング (Analytics)</t>
        </is>
      </c>
    </row>
    <row r="3">
      <c r="A3" t="inlineStr">
        <is>
          <t>ステータス分布データ</t>
        </is>
      </c>
    </row>
    <row r="4">
      <c r="A4" t="inlineStr">
        <is>
          <t>ステータス</t>
        </is>
      </c>
      <c r="B4" t="inlineStr">
        <is>
          <t>社数</t>
        </is>
      </c>
    </row>
    <row r="5">
      <c r="A5" s="3" t="inlineStr">
        <is>
          <t>内定</t>
        </is>
      </c>
      <c r="B5" s="6">
        <f>COUNTIF(Companies!E2:E100, "内定")</f>
        <v/>
      </c>
    </row>
    <row r="6">
      <c r="A6" s="3" t="inlineStr">
        <is>
          <t>面接中</t>
        </is>
      </c>
      <c r="B6" s="6">
        <f>COUNTIF(Companies!E2:E100, "*面接*")</f>
        <v/>
      </c>
    </row>
    <row r="7">
      <c r="A7" s="3" t="inlineStr">
        <is>
          <t>ES提出中</t>
        </is>
      </c>
      <c r="B7" s="6">
        <f>COUNTIF(Companies!E2:E100, "ES提出中")</f>
        <v/>
      </c>
    </row>
    <row r="8">
      <c r="A8" s="3" t="inlineStr">
        <is>
          <t>応募済</t>
        </is>
      </c>
      <c r="B8" s="6">
        <f>COUNTIF(Companies!E2:E100, "応募済")</f>
        <v/>
      </c>
    </row>
    <row r="9">
      <c r="A9" s="3" t="inlineStr">
        <is>
          <t>インターン決定</t>
        </is>
      </c>
      <c r="B9" s="6">
        <f>COUNTIF(Companies!E2:E100, "インターン決定")</f>
        <v/>
      </c>
    </row>
    <row r="10">
      <c r="A10" s="3" t="inlineStr">
        <is>
          <t>辞退</t>
        </is>
      </c>
      <c r="B10" s="6">
        <f>COUNTIF(Companies!E2:E100, "辞退")</f>
        <v/>
      </c>
    </row>
  </sheetData>
  <mergeCells count="1">
    <mergeCell ref="A1:K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2026-06-15T04:33:25Z</dcterms:created>
  <dcterms:modified xsi:type="dcterms:W3CDTF">2026-06-15T04:33:25Z</dcterms:modified>
</cp:coreProperties>
</file>